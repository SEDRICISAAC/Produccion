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ndutexco 2019\"/>
    </mc:Choice>
  </mc:AlternateContent>
  <xr:revisionPtr revIDLastSave="0" documentId="13_ncr:1_{37DFA443-0381-4336-B2EA-250C927C72FA}" xr6:coauthVersionLast="43" xr6:coauthVersionMax="43" xr10:uidLastSave="{00000000-0000-0000-0000-000000000000}"/>
  <bookViews>
    <workbookView xWindow="-113" yWindow="-113" windowWidth="24267" windowHeight="13148" tabRatio="822" activeTab="2" xr2:uid="{00000000-000D-0000-FFFF-FFFF00000000}"/>
  </bookViews>
  <sheets>
    <sheet name="POLITICAS DE CODIFICACION" sheetId="69" r:id="rId1"/>
    <sheet name="Hoja1" sheetId="73" r:id="rId2"/>
    <sheet name="Hoja3" sheetId="75" r:id="rId3"/>
    <sheet name="Formulario" sheetId="74" r:id="rId4"/>
    <sheet name="INSUMOS 31-12-2018" sheetId="71" r:id="rId5"/>
    <sheet name="TEJIDOS" sheetId="76" r:id="rId6"/>
    <sheet name="CAMISAS 31-12-2018(INDUT)" sheetId="67" r:id="rId7"/>
    <sheet name="CAMISAS 31-12-2018(S.Exito)" sheetId="72" r:id="rId8"/>
  </sheets>
  <definedNames>
    <definedName name="AÑO">Hoja1!$Q$24:$Q$27</definedName>
    <definedName name="_xlnm.Print_Area" localSheetId="0">'POLITICAS DE CODIFICACION'!$E$4:$O$56</definedName>
    <definedName name="CALIDAD">Hoja1!$M$18:$M$20</definedName>
    <definedName name="CLIENTE">Hoja1!$Q$18:$Q$21</definedName>
    <definedName name="CODIGOG">Hoja1!$N$2:$N$3</definedName>
    <definedName name="CODIGOP">Hoja1!$R$2:$R$5</definedName>
    <definedName name="CODIGOS">Hoja1!$P$2:$P$5</definedName>
    <definedName name="FIGURA">Hoja1!$Q$9:$Q$12</definedName>
    <definedName name="GENERO">Hoja1!$M$2:$M$3</definedName>
    <definedName name="Guardar">Formulario!$D$27</definedName>
    <definedName name="PRENDA">Hoja1!$Q$2:$Q$5</definedName>
    <definedName name="SEGMENTO">Hoja1!$O$2:$O$5</definedName>
    <definedName name="TALLA">Hoja1!$M$9:$M$15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76" l="1"/>
  <c r="J7" i="76"/>
  <c r="J8" i="76"/>
  <c r="J9" i="76"/>
  <c r="J10" i="76"/>
  <c r="J11" i="76"/>
  <c r="J12" i="76"/>
  <c r="J13" i="76"/>
  <c r="J14" i="76"/>
  <c r="J15" i="76"/>
  <c r="J16" i="76"/>
  <c r="J17" i="76"/>
  <c r="J18" i="76"/>
  <c r="J19" i="76"/>
  <c r="J20" i="76"/>
  <c r="J21" i="76"/>
  <c r="J22" i="76"/>
  <c r="J23" i="76"/>
  <c r="J24" i="76"/>
  <c r="J25" i="76"/>
  <c r="J26" i="76"/>
  <c r="J27" i="76"/>
  <c r="J28" i="76"/>
  <c r="J29" i="76"/>
  <c r="J30" i="76"/>
  <c r="J31" i="76"/>
  <c r="J32" i="76"/>
  <c r="J33" i="76"/>
  <c r="J34" i="76"/>
  <c r="J35" i="76"/>
  <c r="J36" i="76"/>
  <c r="J37" i="76"/>
  <c r="J38" i="76"/>
  <c r="J39" i="76"/>
  <c r="J40" i="76"/>
  <c r="J41" i="76"/>
  <c r="J42" i="76"/>
  <c r="J43" i="76"/>
  <c r="J44" i="76"/>
  <c r="J45" i="76"/>
  <c r="J46" i="76"/>
  <c r="J47" i="76"/>
  <c r="J48" i="76"/>
  <c r="J49" i="76"/>
  <c r="J50" i="76"/>
  <c r="J51" i="76"/>
  <c r="J52" i="76"/>
  <c r="J53" i="76"/>
  <c r="J54" i="76"/>
  <c r="J55" i="76"/>
  <c r="J56" i="76"/>
  <c r="J57" i="76"/>
  <c r="J58" i="76"/>
  <c r="J59" i="76"/>
  <c r="J60" i="76"/>
  <c r="J61" i="76"/>
  <c r="J62" i="76"/>
  <c r="J63" i="76"/>
  <c r="J64" i="76"/>
  <c r="J65" i="76"/>
  <c r="J66" i="76"/>
  <c r="J67" i="76"/>
  <c r="J68" i="76"/>
  <c r="J69" i="76"/>
  <c r="J70" i="76"/>
  <c r="J71" i="76"/>
  <c r="J72" i="76"/>
  <c r="J73" i="76"/>
  <c r="J74" i="76"/>
  <c r="J75" i="76"/>
  <c r="J76" i="76"/>
  <c r="J77" i="76"/>
  <c r="J78" i="76"/>
  <c r="J79" i="76"/>
  <c r="J80" i="76"/>
  <c r="J81" i="76"/>
  <c r="J82" i="76"/>
  <c r="J83" i="76"/>
  <c r="J84" i="76"/>
  <c r="J85" i="76"/>
  <c r="J86" i="76"/>
  <c r="J87" i="76"/>
  <c r="J88" i="76"/>
  <c r="J89" i="76"/>
  <c r="J90" i="76"/>
  <c r="J91" i="76"/>
  <c r="J92" i="76"/>
  <c r="J93" i="76"/>
  <c r="J94" i="76"/>
  <c r="J95" i="76"/>
  <c r="J96" i="76"/>
  <c r="J97" i="76"/>
  <c r="J98" i="76"/>
  <c r="J99" i="76"/>
  <c r="J100" i="76"/>
  <c r="J101" i="76"/>
  <c r="J102" i="76"/>
  <c r="J103" i="76"/>
  <c r="J104" i="76"/>
  <c r="J105" i="76"/>
  <c r="J106" i="76"/>
  <c r="J107" i="76"/>
  <c r="J108" i="76"/>
  <c r="J109" i="76"/>
  <c r="J110" i="76"/>
  <c r="J111" i="76"/>
  <c r="J112" i="76"/>
  <c r="J113" i="76"/>
  <c r="J114" i="76"/>
  <c r="J115" i="76"/>
  <c r="J116" i="76"/>
  <c r="J117" i="76"/>
  <c r="J118" i="76"/>
  <c r="J119" i="76"/>
  <c r="J120" i="76"/>
  <c r="J121" i="76"/>
  <c r="J122" i="76"/>
  <c r="J123" i="76"/>
  <c r="J124" i="76"/>
  <c r="J125" i="76"/>
  <c r="J126" i="76"/>
  <c r="J127" i="76"/>
  <c r="J5" i="76"/>
  <c r="J129" i="76" l="1"/>
  <c r="J130" i="76"/>
  <c r="J131" i="76"/>
  <c r="J132" i="76"/>
  <c r="J133" i="76"/>
  <c r="J134" i="76"/>
  <c r="J135" i="76"/>
  <c r="J136" i="76"/>
  <c r="J137" i="76"/>
  <c r="J138" i="76"/>
  <c r="J139" i="76"/>
  <c r="J140" i="76"/>
  <c r="J141" i="76"/>
  <c r="J142" i="76"/>
  <c r="J143" i="76"/>
  <c r="J144" i="76"/>
  <c r="J145" i="76"/>
  <c r="J146" i="76"/>
  <c r="J147" i="76"/>
  <c r="J148" i="76"/>
  <c r="J149" i="76"/>
  <c r="J150" i="76"/>
  <c r="J151" i="76"/>
  <c r="J152" i="76"/>
  <c r="J153" i="76"/>
  <c r="J154" i="76"/>
  <c r="J155" i="76"/>
  <c r="J156" i="76"/>
  <c r="J128" i="76"/>
  <c r="J160" i="76" l="1"/>
  <c r="F21" i="74" l="1"/>
  <c r="E5" i="74" l="1"/>
  <c r="D5" i="74" l="1"/>
  <c r="F7" i="74"/>
  <c r="F9" i="74"/>
  <c r="F11" i="74"/>
  <c r="F13" i="74"/>
  <c r="F15" i="74"/>
  <c r="F17" i="74"/>
  <c r="E2" i="72"/>
  <c r="E111" i="72" s="1"/>
  <c r="E3" i="72"/>
  <c r="E4" i="72"/>
  <c r="E5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53" i="72"/>
  <c r="E54" i="72"/>
  <c r="E55" i="72"/>
  <c r="E56" i="72"/>
  <c r="E57" i="72"/>
  <c r="E58" i="72"/>
  <c r="E59" i="72"/>
  <c r="E60" i="72"/>
  <c r="E61" i="72"/>
  <c r="E62" i="72"/>
  <c r="E63" i="72"/>
  <c r="E64" i="72"/>
  <c r="E65" i="72"/>
  <c r="E66" i="72"/>
  <c r="E67" i="72"/>
  <c r="E68" i="72"/>
  <c r="E69" i="72"/>
  <c r="E70" i="72"/>
  <c r="E71" i="72"/>
  <c r="E72" i="72"/>
  <c r="E73" i="72"/>
  <c r="E74" i="72"/>
  <c r="E75" i="72"/>
  <c r="E76" i="72"/>
  <c r="E77" i="72"/>
  <c r="E78" i="72"/>
  <c r="E79" i="72"/>
  <c r="E80" i="72"/>
  <c r="E81" i="72"/>
  <c r="E82" i="72"/>
  <c r="E83" i="72"/>
  <c r="E84" i="72"/>
  <c r="E85" i="72"/>
  <c r="E86" i="72"/>
  <c r="E87" i="72"/>
  <c r="E88" i="72"/>
  <c r="E89" i="72"/>
  <c r="E90" i="72"/>
  <c r="E91" i="72"/>
  <c r="E92" i="72"/>
  <c r="E93" i="72"/>
  <c r="E94" i="72"/>
  <c r="E95" i="72"/>
  <c r="E96" i="72"/>
  <c r="E97" i="72"/>
  <c r="E98" i="72"/>
  <c r="E99" i="72"/>
  <c r="E100" i="72"/>
  <c r="E101" i="72"/>
  <c r="E102" i="72"/>
  <c r="E103" i="72"/>
  <c r="E104" i="72"/>
  <c r="E105" i="72"/>
  <c r="E106" i="72"/>
  <c r="E107" i="72"/>
  <c r="E108" i="72"/>
  <c r="E109" i="72"/>
  <c r="C111" i="72"/>
  <c r="D360" i="67"/>
  <c r="G154" i="71"/>
  <c r="G179" i="71"/>
  <c r="G196" i="71"/>
  <c r="F215" i="71"/>
  <c r="F246" i="71"/>
  <c r="G257" i="71"/>
  <c r="G258" i="71"/>
  <c r="G269" i="71"/>
  <c r="G275" i="71"/>
  <c r="G276" i="71"/>
  <c r="F312" i="71"/>
  <c r="G332" i="71"/>
  <c r="G334" i="71"/>
  <c r="F367" i="71"/>
  <c r="F374" i="71"/>
  <c r="F383" i="71"/>
  <c r="F408" i="71"/>
  <c r="F418" i="71"/>
  <c r="F427" i="71"/>
  <c r="K2" i="73"/>
  <c r="Z3" i="69"/>
  <c r="AF3" i="69" s="1"/>
  <c r="D25" i="7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INDUTEXCO</author>
  </authors>
  <commentList>
    <comment ref="I267" authorId="0" shapeId="0" xr:uid="{00000000-0006-0000-0400-000001000000}">
      <text>
        <r>
          <rPr>
            <sz val="8"/>
            <color indexed="81"/>
            <rFont val="Tahoma"/>
            <family val="2"/>
          </rPr>
          <t>BOTONES UTILIZADOS EN MUESTRAS</t>
        </r>
      </text>
    </comment>
    <comment ref="B271" authorId="0" shapeId="0" xr:uid="{00000000-0006-0000-0400-000002000000}">
      <text>
        <r>
          <rPr>
            <sz val="8"/>
            <color indexed="81"/>
            <rFont val="Tahoma"/>
            <family val="2"/>
          </rPr>
          <t>ESTE BOTON YA NO ESTARA MAS EN VENTA</t>
        </r>
      </text>
    </comment>
    <comment ref="B272" authorId="0" shapeId="0" xr:uid="{00000000-0006-0000-0400-000003000000}">
      <text>
        <r>
          <rPr>
            <sz val="8"/>
            <color indexed="81"/>
            <rFont val="Tahoma"/>
            <family val="2"/>
          </rPr>
          <t>ESTE BOTON YA NO ESTARA MAS EN VENTA</t>
        </r>
      </text>
    </comment>
    <comment ref="I275" authorId="0" shapeId="0" xr:uid="{00000000-0006-0000-0400-000004000000}">
      <text>
        <r>
          <rPr>
            <sz val="8"/>
            <color indexed="81"/>
            <rFont val="Tahoma"/>
            <family val="2"/>
          </rPr>
          <t>BOTONES UTILIZADOS EN MUESTRAS</t>
        </r>
      </text>
    </comment>
    <comment ref="I276" authorId="0" shapeId="0" xr:uid="{00000000-0006-0000-0400-000005000000}">
      <text>
        <r>
          <rPr>
            <sz val="8"/>
            <color indexed="81"/>
            <rFont val="Tahoma"/>
            <family val="2"/>
          </rPr>
          <t>BOTONES UTILIZADOS EN MUESTRAS</t>
        </r>
      </text>
    </comment>
    <comment ref="I313" authorId="0" shapeId="0" xr:uid="{00000000-0006-0000-0400-000006000000}">
      <text>
        <r>
          <rPr>
            <sz val="8"/>
            <color indexed="81"/>
            <rFont val="Tahoma"/>
            <family val="2"/>
          </rPr>
          <t>SE ENTREGARON A KATY PARA MANDAR A TINTURAR 14/08/2018</t>
        </r>
      </text>
    </comment>
    <comment ref="I314" authorId="0" shapeId="0" xr:uid="{00000000-0006-0000-0400-000007000000}">
      <text>
        <r>
          <rPr>
            <sz val="8"/>
            <color indexed="81"/>
            <rFont val="Tahoma"/>
            <family val="2"/>
          </rPr>
          <t>SE ENTREGARON A KATY PARA MANDAR A TINTURAR 14/08/2018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INDUTEX</author>
    <author>INDUTEXCO</author>
  </authors>
  <commentList>
    <comment ref="H9" authorId="0" shapeId="0" xr:uid="{00000000-0006-0000-0500-000001000000}">
      <text>
        <r>
          <rPr>
            <sz val="9"/>
            <color indexed="81"/>
            <rFont val="Tahoma"/>
            <family val="2"/>
          </rPr>
          <t>2 ROLLOS</t>
        </r>
      </text>
    </comment>
    <comment ref="J9" authorId="0" shapeId="0" xr:uid="{00000000-0006-0000-0500-000002000000}">
      <text>
        <r>
          <rPr>
            <sz val="9"/>
            <color indexed="81"/>
            <rFont val="Tahoma"/>
            <family val="2"/>
          </rPr>
          <t>2 ROLLOS</t>
        </r>
      </text>
    </comment>
    <comment ref="H23" authorId="0" shapeId="0" xr:uid="{00000000-0006-0000-0500-000003000000}">
      <text>
        <r>
          <rPr>
            <sz val="9"/>
            <color indexed="81"/>
            <rFont val="Tahoma"/>
            <family val="2"/>
          </rPr>
          <t>2 ROLLOS</t>
        </r>
      </text>
    </comment>
    <comment ref="J23" authorId="0" shapeId="0" xr:uid="{00000000-0006-0000-0500-000004000000}">
      <text>
        <r>
          <rPr>
            <sz val="9"/>
            <color indexed="81"/>
            <rFont val="Tahoma"/>
            <family val="2"/>
          </rPr>
          <t>2 ROLLOS</t>
        </r>
      </text>
    </comment>
    <comment ref="H57" authorId="1" shapeId="0" xr:uid="{00000000-0006-0000-0500-000005000000}">
      <text>
        <r>
          <rPr>
            <sz val="8"/>
            <color indexed="81"/>
            <rFont val="Tahoma"/>
            <family val="2"/>
          </rPr>
          <t>2 ROLLOS</t>
        </r>
      </text>
    </comment>
    <comment ref="J57" authorId="1" shapeId="0" xr:uid="{00000000-0006-0000-0500-000006000000}">
      <text>
        <r>
          <rPr>
            <sz val="8"/>
            <color indexed="81"/>
            <rFont val="Tahoma"/>
            <family val="2"/>
          </rPr>
          <t>2 ROLLOS</t>
        </r>
      </text>
    </comment>
    <comment ref="H59" authorId="0" shapeId="0" xr:uid="{00000000-0006-0000-0500-000007000000}">
      <text>
        <r>
          <rPr>
            <sz val="9"/>
            <color indexed="81"/>
            <rFont val="Tahoma"/>
            <family val="2"/>
          </rPr>
          <t>2 ROLLOS</t>
        </r>
      </text>
    </comment>
    <comment ref="J59" authorId="0" shapeId="0" xr:uid="{00000000-0006-0000-0500-000008000000}">
      <text>
        <r>
          <rPr>
            <sz val="9"/>
            <color indexed="81"/>
            <rFont val="Tahoma"/>
            <family val="2"/>
          </rPr>
          <t>2 ROLLOS</t>
        </r>
      </text>
    </comment>
    <comment ref="H61" authorId="0" shapeId="0" xr:uid="{00000000-0006-0000-0500-000009000000}">
      <text>
        <r>
          <rPr>
            <sz val="9"/>
            <color indexed="81"/>
            <rFont val="Tahoma"/>
            <family val="2"/>
          </rPr>
          <t>2 ROLLOS</t>
        </r>
      </text>
    </comment>
    <comment ref="J61" authorId="0" shapeId="0" xr:uid="{00000000-0006-0000-0500-00000A000000}">
      <text>
        <r>
          <rPr>
            <sz val="9"/>
            <color indexed="81"/>
            <rFont val="Tahoma"/>
            <family val="2"/>
          </rPr>
          <t>2 ROLLOS</t>
        </r>
      </text>
    </comment>
  </commentList>
</comments>
</file>

<file path=xl/sharedStrings.xml><?xml version="1.0" encoding="utf-8"?>
<sst xmlns="http://schemas.openxmlformats.org/spreadsheetml/2006/main" count="4082" uniqueCount="1631">
  <si>
    <t>PROVEEDOR</t>
  </si>
  <si>
    <t>DISTRITEX</t>
  </si>
  <si>
    <t>LH. COMERCIAL</t>
  </si>
  <si>
    <t>m</t>
  </si>
  <si>
    <t>unds</t>
  </si>
  <si>
    <t>Funda celofan</t>
  </si>
  <si>
    <t>COATS</t>
  </si>
  <si>
    <t>Plastiflechas</t>
  </si>
  <si>
    <t>BOTOPERLA</t>
  </si>
  <si>
    <t>EKA</t>
  </si>
  <si>
    <t>DIBOND</t>
  </si>
  <si>
    <t>PLASTIPLANET</t>
  </si>
  <si>
    <t>Marquilla regular fit gris (nueva)</t>
  </si>
  <si>
    <t>Marquilla regular fit negra (nueva)</t>
  </si>
  <si>
    <t>Marquilla regular fit naranja (nueva)</t>
  </si>
  <si>
    <t>PL ETIQUETAS</t>
  </si>
  <si>
    <t>TEXPRINT</t>
  </si>
  <si>
    <t>Marquilla slim fit negra (nueva)</t>
  </si>
  <si>
    <t>Marquilla slim fit naranja (nueva)</t>
  </si>
  <si>
    <t>Marquilla slim fit gris (nueva)</t>
  </si>
  <si>
    <t>Marquilla slim fit azul (nueva)</t>
  </si>
  <si>
    <t>1002</t>
  </si>
  <si>
    <t>SOL - COMETA</t>
  </si>
  <si>
    <t>Reata rojo (rollo x 50m)</t>
  </si>
  <si>
    <t>CODIGO
ERP</t>
  </si>
  <si>
    <t>DESCRIPCION ERP</t>
  </si>
  <si>
    <t>Tela 100% algodón - Llana dibujo azul</t>
  </si>
  <si>
    <t>2001</t>
  </si>
  <si>
    <t>2002</t>
  </si>
  <si>
    <t>1117</t>
  </si>
  <si>
    <t>Tela 100% algodón - Llana azul</t>
  </si>
  <si>
    <t>1105</t>
  </si>
  <si>
    <t>1127</t>
  </si>
  <si>
    <t>1007</t>
  </si>
  <si>
    <t>Etiqueta de cartón negra Dbond con cordon (regular fit)</t>
  </si>
  <si>
    <t>1067</t>
  </si>
  <si>
    <t>1054</t>
  </si>
  <si>
    <t>1027</t>
  </si>
  <si>
    <t>1068</t>
  </si>
  <si>
    <t xml:space="preserve">Marquilla Button up azul </t>
  </si>
  <si>
    <t>Etiqueta de cartón Button up blanca (Indutexco)</t>
  </si>
  <si>
    <t>1052</t>
  </si>
  <si>
    <t>Tela 100% algodón - Llana mini cuadros blanco/azul</t>
  </si>
  <si>
    <t>Tela 100% algodón - Rayas azul/blanco</t>
  </si>
  <si>
    <t>Tela 100% algodón - Rayas celeste/blanco</t>
  </si>
  <si>
    <t>1071</t>
  </si>
  <si>
    <t>1075</t>
  </si>
  <si>
    <t>INSUTEXTIL</t>
  </si>
  <si>
    <t>Marquilla Button up gris</t>
  </si>
  <si>
    <t>Botón grande negro T18/4 (marcado)</t>
  </si>
  <si>
    <t>Botón pequeño negro T14/4 (marcado)</t>
  </si>
  <si>
    <t>Botón pequeño negro mate T14/4 (marcado)</t>
  </si>
  <si>
    <t>5002</t>
  </si>
  <si>
    <t>5003</t>
  </si>
  <si>
    <t>5004</t>
  </si>
  <si>
    <t>5005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</si>
  <si>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</si>
  <si>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</si>
  <si>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</si>
  <si>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</si>
  <si>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</si>
  <si>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</si>
  <si>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</si>
  <si>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</si>
  <si>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</si>
  <si>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</si>
  <si>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</si>
  <si>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</si>
  <si>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</si>
  <si>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</si>
  <si>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</si>
  <si>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</si>
  <si>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</si>
  <si>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</si>
  <si>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</si>
  <si>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</si>
  <si>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</si>
  <si>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</si>
  <si>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</si>
  <si>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</si>
  <si>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5033</t>
  </si>
  <si>
    <t>5034</t>
  </si>
  <si>
    <t>5035</t>
  </si>
  <si>
    <t>5037</t>
  </si>
  <si>
    <t>5038</t>
  </si>
  <si>
    <t>5039</t>
  </si>
  <si>
    <t>5040</t>
  </si>
  <si>
    <t>5041</t>
  </si>
  <si>
    <t>5043</t>
  </si>
  <si>
    <t>5044</t>
  </si>
  <si>
    <t>5049</t>
  </si>
  <si>
    <t>5050</t>
  </si>
  <si>
    <t>5052</t>
  </si>
  <si>
    <t>5501</t>
  </si>
  <si>
    <t>5502</t>
  </si>
  <si>
    <t>5503</t>
  </si>
  <si>
    <t>5504</t>
  </si>
  <si>
    <t>5505</t>
  </si>
  <si>
    <t>5506</t>
  </si>
  <si>
    <t>5507</t>
  </si>
  <si>
    <t>5508</t>
  </si>
  <si>
    <t>5510</t>
  </si>
  <si>
    <t>5511</t>
  </si>
  <si>
    <t>5512</t>
  </si>
  <si>
    <t>5514</t>
  </si>
  <si>
    <t>5515</t>
  </si>
  <si>
    <t>5516</t>
  </si>
  <si>
    <t>5517</t>
  </si>
  <si>
    <t>5518</t>
  </si>
  <si>
    <t>5520</t>
  </si>
  <si>
    <t>5521</t>
  </si>
  <si>
    <t>5522</t>
  </si>
  <si>
    <t>5523</t>
  </si>
  <si>
    <t>5524</t>
  </si>
  <si>
    <t>5525</t>
  </si>
  <si>
    <t>5526</t>
  </si>
  <si>
    <t>5527</t>
  </si>
  <si>
    <t>5528</t>
  </si>
  <si>
    <t>5529</t>
  </si>
  <si>
    <t>5530</t>
  </si>
  <si>
    <t>5531</t>
  </si>
  <si>
    <t>5532</t>
  </si>
  <si>
    <t>5533</t>
  </si>
  <si>
    <t>5534</t>
  </si>
  <si>
    <t>5535</t>
  </si>
  <si>
    <t>5536</t>
  </si>
  <si>
    <t>5538</t>
  </si>
  <si>
    <t>5539</t>
  </si>
  <si>
    <t>5540</t>
  </si>
  <si>
    <t>5541</t>
  </si>
  <si>
    <t>5544</t>
  </si>
  <si>
    <t>5545</t>
  </si>
  <si>
    <t>5546</t>
  </si>
  <si>
    <t>5549</t>
  </si>
  <si>
    <t>5550</t>
  </si>
  <si>
    <t>5551</t>
  </si>
  <si>
    <t>5552</t>
  </si>
  <si>
    <t>5553</t>
  </si>
  <si>
    <t>5554</t>
  </si>
  <si>
    <t>5053</t>
  </si>
  <si>
    <t>5054</t>
  </si>
  <si>
    <t>Botón pequeño blanco/transparente T14/4 (sin marcado)</t>
  </si>
  <si>
    <t>Boton grande blanco jaspeado gris T18/4 (sin marcado)</t>
  </si>
  <si>
    <t>Boton pequeño blanco jaspeado gris T14/4 (sin marcado)</t>
  </si>
  <si>
    <t>Boton grande blanco jaspeado negro T18/4 (sin marcado)</t>
  </si>
  <si>
    <t>Boton pequeño blanco jaspeado negro T14/4 (sin marcado)</t>
  </si>
  <si>
    <t>Botón grande miel claro mate T18/4 (sin marcado)</t>
  </si>
  <si>
    <t>Botón pequeño miel claro mate T14/4 (sin marcado)</t>
  </si>
  <si>
    <t>Botón grande miel oscuro T18/4 (sin marcado)</t>
  </si>
  <si>
    <t>Botón pequeño miel oscuro T14/4 (sin marcado)</t>
  </si>
  <si>
    <t>Boton grande crema jaspeado chocolate T18/4 (sin marcado)</t>
  </si>
  <si>
    <t>Boton pequeño crema jaspeado chocolate T14/4 (sin marcado)</t>
  </si>
  <si>
    <t>Botón grande café jaspeado T18/4 (sin marcado)</t>
  </si>
  <si>
    <t>Botón pequeño café jaspeado T14/4 (sin marcado)</t>
  </si>
  <si>
    <t>Botón grande negro brillante T18/4 (sin marcado)</t>
  </si>
  <si>
    <t>Botón pequeño negro brillante T14/4 (sin marcado)</t>
  </si>
  <si>
    <t>Botón grande verde brillante T18/4 (sin marcado)</t>
  </si>
  <si>
    <t>Botón grande azul brillante T18/4 (sin marcado)</t>
  </si>
  <si>
    <t>Botón pequeño azul brillante T14/4 (sin marcado)</t>
  </si>
  <si>
    <t>Botón grande amarillo calro mate T18/4 (sin marcado)</t>
  </si>
  <si>
    <t>Botón pequeño amarillo claro mate T14/4 (sin marcado)</t>
  </si>
  <si>
    <t>Botón pequeño azul T14/4 (sin marcado)</t>
  </si>
  <si>
    <t>Botón grande blanco/transparente T18/4 (marcado)</t>
  </si>
  <si>
    <t>Botón pequeño blanco/transparente T14/4 (marcado)</t>
  </si>
  <si>
    <t>Botón grande blanco/transparente brillante T18/4 (marcado)</t>
  </si>
  <si>
    <t>Botón pequeño blanco/transparente brillante T14/4 (marcado)</t>
  </si>
  <si>
    <t>Botón grande blanco mate T18/4 (marcado)</t>
  </si>
  <si>
    <t>Botón pequeño blanco mate T14/4 (marcado)</t>
  </si>
  <si>
    <t>Boton grande blanco jaspeado gris T18/4 (marcado)</t>
  </si>
  <si>
    <t>Boton pequeño blanco jaspeado gris T14/4 (marcado)</t>
  </si>
  <si>
    <t>Boton pequeño blanco jaspeado negro T14/4 (marcado)</t>
  </si>
  <si>
    <t>Botón grande gris T18/4 (marcado)</t>
  </si>
  <si>
    <t>Botón pequeño gris T14/4 (marcado)</t>
  </si>
  <si>
    <t>Botón grande miel oscuro T18/4 (marcado)</t>
  </si>
  <si>
    <t>Botón pequeño miel oscuro T14/4 (marcado)</t>
  </si>
  <si>
    <t>Boton grande beige jaspeado café T18/4 (marcado)</t>
  </si>
  <si>
    <t>Boton pequeño beige jaspeado café T14/4 (marcado)</t>
  </si>
  <si>
    <t>Botón grande miel claro T18/4 (marcado)</t>
  </si>
  <si>
    <t>Botón pequeño miel claro T14/4 (marcado)</t>
  </si>
  <si>
    <t>Boton grande crema jaspeado café T18/4 (marcado)</t>
  </si>
  <si>
    <t>Boton pequeño crema jaspeado café T14/4 (marcado)</t>
  </si>
  <si>
    <t>Botón grande habano mate T18/4 (marcado)</t>
  </si>
  <si>
    <t>Botón pequeño habano mate T14/4 (marcado)</t>
  </si>
  <si>
    <t>Boton grande habano claro jaspeado chocolate T18/4 (marcado)</t>
  </si>
  <si>
    <t>Boton pequeño habano claro jaspeado chocolate T14/4 (marcado)</t>
  </si>
  <si>
    <t>Boton grande habano oscuro jaspeado chocolate T18/4 (marcado)</t>
  </si>
  <si>
    <t>Boton pequeño habano oscuro jaspeado chocolate T14/4 (marcado)</t>
  </si>
  <si>
    <t>Boton grande café T18/4 (marcado)</t>
  </si>
  <si>
    <t>Boton pequeño café T14/4 (marcado)</t>
  </si>
  <si>
    <t>Boton grande azul T18/4 (marcado)</t>
  </si>
  <si>
    <t>Boton grande azul T14/4 (marcado)</t>
  </si>
  <si>
    <t>Boton pequeño azul T14/4 (marcado)</t>
  </si>
  <si>
    <t>Botón grande amarillo calro mate T18/4 (marcado)</t>
  </si>
  <si>
    <t>Botón pequeño amarillo claro mate T14/4 (marcado)</t>
  </si>
  <si>
    <t>Botón grande rojo mate T18/4 (marcado)</t>
  </si>
  <si>
    <t>Botón pequeño rojo mate T14/4 (marcado)</t>
  </si>
  <si>
    <t>5555</t>
  </si>
  <si>
    <t>5556</t>
  </si>
  <si>
    <t>3001</t>
  </si>
  <si>
    <t>3002</t>
  </si>
  <si>
    <t>3003</t>
  </si>
  <si>
    <t>3005</t>
  </si>
  <si>
    <t>3006</t>
  </si>
  <si>
    <t>3007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</si>
  <si>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</si>
  <si>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</si>
  <si>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</si>
  <si>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</si>
  <si>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</si>
  <si>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</si>
  <si>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</si>
  <si>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</si>
  <si>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</si>
  <si>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3019</t>
  </si>
  <si>
    <t>3020</t>
  </si>
  <si>
    <t>3031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</si>
  <si>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</si>
  <si>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</si>
  <si>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</si>
  <si>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</si>
  <si>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</si>
  <si>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</si>
  <si>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</si>
  <si>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</si>
  <si>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</si>
  <si>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</si>
  <si>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3032</t>
  </si>
  <si>
    <t>3033</t>
  </si>
  <si>
    <t>3034</t>
  </si>
  <si>
    <t>Reata beige/azul/rojo (rollo x 50 m)</t>
  </si>
  <si>
    <t>Reata blanca (rollo x 50 m)</t>
  </si>
  <si>
    <t>Reata rojo/beige/azul (rollo x 100 m)</t>
  </si>
  <si>
    <t>Reata azul/celeste/blanco (rollo x 50 m)</t>
  </si>
  <si>
    <t>Reata rojo tinto (rollo x 50 m)</t>
  </si>
  <si>
    <t>Reata vino tinto intenso (rollo x 50 m)</t>
  </si>
  <si>
    <t>Reata azul/beige/rojo (rollo x 100 m)</t>
  </si>
  <si>
    <t>Reata rnegra (rollo x 50 m)</t>
  </si>
  <si>
    <t>Reata celeste (rollo x 50 m)</t>
  </si>
  <si>
    <t>Reata blanco/rojo/negro (rollo x 200 m)</t>
  </si>
  <si>
    <t>Reata azul/rojo/blanco (rollo x 155 m)</t>
  </si>
  <si>
    <t>Reata blanco/negro (rollo x 200 m)</t>
  </si>
  <si>
    <t>Reata azul/blanco/verde (rollo x 50 m)</t>
  </si>
  <si>
    <t>Reata blanco/rojo/negro (rollo x 100 m)</t>
  </si>
  <si>
    <t>Reata Tommy (rollo x 200 m)</t>
  </si>
  <si>
    <t>Reata naranja fluorescente/azul/blanco/amarillo (rollo x 50 m)</t>
  </si>
  <si>
    <t>Reata fucsia (rollo x 50 m)</t>
  </si>
  <si>
    <t>Reata gris plomo (rollo x 50 m)</t>
  </si>
  <si>
    <t>Reata gris claro (rollo x 50 m)</t>
  </si>
  <si>
    <t>4001</t>
  </si>
  <si>
    <t>4002</t>
  </si>
  <si>
    <t>4003</t>
  </si>
  <si>
    <t>4004</t>
  </si>
  <si>
    <t>4005</t>
  </si>
  <si>
    <t>4006</t>
  </si>
  <si>
    <t>4007</t>
  </si>
  <si>
    <t>4008</t>
  </si>
  <si>
    <t>4010</t>
  </si>
  <si>
    <t>4011</t>
  </si>
  <si>
    <t>4012</t>
  </si>
  <si>
    <t>4013</t>
  </si>
  <si>
    <t>4017</t>
  </si>
  <si>
    <t>4021</t>
  </si>
  <si>
    <t>4022</t>
  </si>
  <si>
    <t>4023</t>
  </si>
  <si>
    <t>4024</t>
  </si>
  <si>
    <t>4025</t>
  </si>
  <si>
    <t>4026</t>
  </si>
  <si>
    <t>4027</t>
  </si>
  <si>
    <t>4028</t>
  </si>
  <si>
    <t>4030</t>
  </si>
  <si>
    <t>4032</t>
  </si>
  <si>
    <t>4033</t>
  </si>
  <si>
    <t>4034</t>
  </si>
  <si>
    <t>4035</t>
  </si>
  <si>
    <t>4036</t>
  </si>
  <si>
    <t>4037</t>
  </si>
  <si>
    <t>4038</t>
  </si>
  <si>
    <t>4039</t>
  </si>
  <si>
    <t>Talla gris EP</t>
  </si>
  <si>
    <t>Talla gris EG</t>
  </si>
  <si>
    <t>Talla gris 2EG</t>
  </si>
  <si>
    <t>Talla gris 3EG</t>
  </si>
  <si>
    <t>Talla gris M</t>
  </si>
  <si>
    <t>Talla gris P</t>
  </si>
  <si>
    <t>Talla azul P</t>
  </si>
  <si>
    <t>Talla azul M</t>
  </si>
  <si>
    <t>Talla azul G</t>
  </si>
  <si>
    <t>Talla azul EP</t>
  </si>
  <si>
    <t>Talla azul EG</t>
  </si>
  <si>
    <t>Talla azul 2EG</t>
  </si>
  <si>
    <t>Talla azul 3EG</t>
  </si>
  <si>
    <t>Talla azul 4EG</t>
  </si>
  <si>
    <t>Talla gris G</t>
  </si>
  <si>
    <t>Talla negra P</t>
  </si>
  <si>
    <t>Talla negra M</t>
  </si>
  <si>
    <t>Talla negra G</t>
  </si>
  <si>
    <t>Talla negra EG</t>
  </si>
  <si>
    <t>Talla gris S</t>
  </si>
  <si>
    <t>Talla gris XS</t>
  </si>
  <si>
    <t>Talla gris XL</t>
  </si>
  <si>
    <t>Talla gris XXL</t>
  </si>
  <si>
    <t>7001</t>
  </si>
  <si>
    <t>7002</t>
  </si>
  <si>
    <t>7003</t>
  </si>
  <si>
    <t>7004</t>
  </si>
  <si>
    <t>7005</t>
  </si>
  <si>
    <t>7006</t>
  </si>
  <si>
    <t>7007</t>
  </si>
  <si>
    <t>7008</t>
  </si>
  <si>
    <t>7009</t>
  </si>
  <si>
    <t>7010</t>
  </si>
  <si>
    <t>7011</t>
  </si>
  <si>
    <t>7012</t>
  </si>
  <si>
    <t>7013</t>
  </si>
  <si>
    <t>7014</t>
  </si>
  <si>
    <t>7015</t>
  </si>
  <si>
    <t>7016</t>
  </si>
  <si>
    <t>7017</t>
  </si>
  <si>
    <t>7018</t>
  </si>
  <si>
    <t>7019</t>
  </si>
  <si>
    <t>7020</t>
  </si>
  <si>
    <t>7021</t>
  </si>
  <si>
    <t>7022</t>
  </si>
  <si>
    <t>7024</t>
  </si>
  <si>
    <t>7025</t>
  </si>
  <si>
    <t>Marquilla con talla Dibond S/P</t>
  </si>
  <si>
    <t>Marquilla con talla Dibond M/M</t>
  </si>
  <si>
    <t>Marquilla con talla Dibond L/G</t>
  </si>
  <si>
    <t>Marquilla con talla Dibond XL/EG</t>
  </si>
  <si>
    <t>6001</t>
  </si>
  <si>
    <t>6002</t>
  </si>
  <si>
    <t>6003</t>
  </si>
  <si>
    <t>6004</t>
  </si>
  <si>
    <t>6005</t>
  </si>
  <si>
    <t>6006</t>
  </si>
  <si>
    <t>6501</t>
  </si>
  <si>
    <t>6502</t>
  </si>
  <si>
    <t>6504</t>
  </si>
  <si>
    <t>6505</t>
  </si>
  <si>
    <t>6506</t>
  </si>
  <si>
    <t>6507</t>
  </si>
  <si>
    <t>6508</t>
  </si>
  <si>
    <t>6509</t>
  </si>
  <si>
    <t>Marquilla slim fit gris (anterior)</t>
  </si>
  <si>
    <t>1072</t>
  </si>
  <si>
    <t>1051</t>
  </si>
  <si>
    <t>9001</t>
  </si>
  <si>
    <t>9002</t>
  </si>
  <si>
    <t>9003</t>
  </si>
  <si>
    <t>9501</t>
  </si>
  <si>
    <t>9502</t>
  </si>
  <si>
    <t>1001</t>
  </si>
  <si>
    <t>1003</t>
  </si>
  <si>
    <t>1004</t>
  </si>
  <si>
    <t>1005</t>
  </si>
  <si>
    <t>1006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</si>
  <si>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</si>
  <si>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</si>
  <si>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</si>
  <si>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</si>
  <si>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</si>
  <si>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</si>
  <si>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</si>
  <si>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</si>
  <si>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</si>
  <si>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</si>
  <si>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</si>
  <si>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</si>
  <si>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</si>
  <si>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</si>
  <si>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</si>
  <si>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</si>
  <si>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</si>
  <si>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</si>
  <si>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</si>
  <si>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</si>
  <si>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</si>
  <si>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</si>
  <si>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</si>
  <si>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</si>
  <si>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</si>
  <si>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</si>
  <si>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</si>
  <si>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</si>
  <si>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</si>
  <si>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</si>
  <si>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</si>
  <si>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</si>
  <si>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</si>
  <si>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</si>
  <si>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</si>
  <si>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</si>
  <si>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</si>
  <si>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</si>
  <si>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</si>
  <si>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</si>
  <si>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</si>
  <si>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</si>
  <si>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1053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</si>
  <si>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</si>
  <si>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</si>
  <si>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</si>
  <si>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</si>
  <si>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</si>
  <si>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</si>
  <si>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</si>
  <si>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</si>
  <si>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</si>
  <si>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</si>
  <si>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</si>
  <si>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</si>
  <si>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1069</t>
  </si>
  <si>
    <t>1070</t>
  </si>
  <si>
    <t>1073</t>
  </si>
  <si>
    <t>1074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</si>
  <si>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</si>
  <si>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</si>
  <si>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</si>
  <si>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</si>
  <si>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</si>
  <si>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</si>
  <si>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</si>
  <si>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</si>
  <si>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</si>
  <si>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</si>
  <si>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</si>
  <si>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</si>
  <si>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</si>
  <si>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</si>
  <si>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</si>
  <si>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</si>
  <si>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</si>
  <si>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</si>
  <si>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</si>
  <si>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</si>
  <si>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</si>
  <si>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</si>
  <si>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</si>
  <si>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</si>
  <si>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</si>
  <si>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</si>
  <si>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</si>
  <si>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</si>
  <si>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</si>
  <si>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</si>
  <si>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</si>
  <si>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</si>
  <si>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</si>
  <si>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</si>
  <si>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</si>
  <si>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</si>
  <si>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</si>
  <si>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</si>
  <si>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</si>
  <si>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</si>
  <si>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</si>
  <si>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</si>
  <si>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</si>
  <si>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</si>
  <si>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</si>
  <si>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</si>
  <si>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</si>
  <si>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</si>
  <si>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</si>
  <si>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Tela 100% algodón/lycra - Llana blanco</t>
  </si>
  <si>
    <t>Tela 100% algodón - Cuadros (pq) azul/blanco</t>
  </si>
  <si>
    <t>Tela 100% algodón - Estampado azul</t>
  </si>
  <si>
    <t>Tela 100% algodón - Cuadros (gr) rojo/rosado/azul/blanco</t>
  </si>
  <si>
    <t>Tela 100% algodón - Estampado blanco</t>
  </si>
  <si>
    <t>Tela algodón/lycra - Llana negro</t>
  </si>
  <si>
    <t>Tela 100% algodón - Estampada azul</t>
  </si>
  <si>
    <t>Tela 100% algodón - Rayas vino/blanco</t>
  </si>
  <si>
    <t>Tela 100% algodón - Estampado blanco/vino</t>
  </si>
  <si>
    <t>Tela 100% algodón - Miniprin blanco/gris</t>
  </si>
  <si>
    <t>Tela 100% algodón - Estampado blanco/negro</t>
  </si>
  <si>
    <t>Tela 100% algodón - Cuadros (gr) azul/gris/verde/blanco</t>
  </si>
  <si>
    <t>Tela 100% algodón - Rayas gris/blanco</t>
  </si>
  <si>
    <t>Tela 100% algodón - Cuadros (pq) rojo/blanco</t>
  </si>
  <si>
    <t>Tela 100% algodón - Llana azul/blanco</t>
  </si>
  <si>
    <t>Tela 100% algodón - Cuadros (gr) azul/café</t>
  </si>
  <si>
    <t>Tela 100% algodón - Cuadros (md) blanco/azul/celeste/rojo</t>
  </si>
  <si>
    <t>Tela 100% algodón - Cuadros (pq) blanco/rojo/azul</t>
  </si>
  <si>
    <t>Tela 100% algodón - Llana dibujo lila</t>
  </si>
  <si>
    <t>Tela 100% algodón - Cuadros (gr) azul/gris/blanco</t>
  </si>
  <si>
    <t>Tela 100% algodón - Llana mini rayas blanco/celeste</t>
  </si>
  <si>
    <t>Tela 100% algodón - Llana negro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</si>
  <si>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</si>
  <si>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</si>
  <si>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</si>
  <si>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</si>
  <si>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</si>
  <si>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</si>
  <si>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</si>
  <si>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</si>
  <si>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</si>
  <si>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</si>
  <si>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</si>
  <si>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</si>
  <si>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</si>
  <si>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</si>
  <si>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</si>
  <si>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</si>
  <si>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</si>
  <si>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</si>
  <si>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</si>
  <si>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</si>
  <si>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</si>
  <si>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</si>
  <si>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</si>
  <si>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</si>
  <si>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</si>
  <si>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</si>
  <si>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</si>
  <si>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</si>
  <si>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</si>
  <si>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</si>
  <si>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9506</t>
  </si>
  <si>
    <t>Cinta ancha adhesiva de seguridad marca Indutexco</t>
  </si>
  <si>
    <t>INDUTEXCO
CIA. LTDA</t>
  </si>
  <si>
    <t>EUROTAPE</t>
  </si>
  <si>
    <t>TALLA</t>
  </si>
  <si>
    <t>M</t>
  </si>
  <si>
    <t>XX</t>
  </si>
  <si>
    <t>TALLAS</t>
  </si>
  <si>
    <t>MATERIALES</t>
  </si>
  <si>
    <t>TELAS</t>
  </si>
  <si>
    <t>ENTRETELAS</t>
  </si>
  <si>
    <t>REATAS</t>
  </si>
  <si>
    <t>HILOS</t>
  </si>
  <si>
    <t>ETIQUETAS INSTRUCCIONES DE CUIDADO</t>
  </si>
  <si>
    <t>COD. ERP</t>
  </si>
  <si>
    <t>BOTONES SIN MARCADO</t>
  </si>
  <si>
    <t>BOTONES MARCADOS</t>
  </si>
  <si>
    <t>MARQUILLAS FIT</t>
  </si>
  <si>
    <t>MARQUILLAS MARCA PRODUCTO</t>
  </si>
  <si>
    <t>ETIQUETAS DE CARTON Y CODIGOS DE BARRAS</t>
  </si>
  <si>
    <t>POLITICAS DE CODIFICACION - INVENTARIOS INDUTEXCO CIA. LTDA</t>
  </si>
  <si>
    <t>XXXX</t>
  </si>
  <si>
    <t>ARTICULOS</t>
  </si>
  <si>
    <t>XS</t>
  </si>
  <si>
    <t>S</t>
  </si>
  <si>
    <t>L</t>
  </si>
  <si>
    <t>XL</t>
  </si>
  <si>
    <t>XXL</t>
  </si>
  <si>
    <t>X</t>
  </si>
  <si>
    <t>CALIDAD</t>
  </si>
  <si>
    <r>
      <rPr>
        <sz val="10"/>
        <color indexed="10"/>
        <rFont val="Calibri"/>
        <family val="2"/>
      </rPr>
      <t>1001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1999</t>
    </r>
  </si>
  <si>
    <r>
      <rPr>
        <sz val="10"/>
        <color indexed="10"/>
        <rFont val="Calibri"/>
        <family val="2"/>
      </rPr>
      <t>2001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2999</t>
    </r>
  </si>
  <si>
    <r>
      <rPr>
        <sz val="10"/>
        <color indexed="10"/>
        <rFont val="Calibri"/>
        <family val="2"/>
      </rPr>
      <t>3001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3999</t>
    </r>
  </si>
  <si>
    <r>
      <rPr>
        <sz val="10"/>
        <color indexed="10"/>
        <rFont val="Calibri"/>
        <family val="2"/>
      </rPr>
      <t>4001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4999</t>
    </r>
  </si>
  <si>
    <r>
      <rPr>
        <sz val="10"/>
        <color indexed="10"/>
        <rFont val="Calibri"/>
        <family val="2"/>
      </rPr>
      <t>5001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5499</t>
    </r>
  </si>
  <si>
    <r>
      <rPr>
        <sz val="10"/>
        <color indexed="10"/>
        <rFont val="Calibri"/>
        <family val="2"/>
      </rPr>
      <t>5501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5999</t>
    </r>
  </si>
  <si>
    <r>
      <rPr>
        <sz val="10"/>
        <color indexed="10"/>
        <rFont val="Calibri"/>
        <family val="2"/>
      </rPr>
      <t>6001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6499</t>
    </r>
  </si>
  <si>
    <r>
      <rPr>
        <sz val="10"/>
        <color indexed="10"/>
        <rFont val="Calibri"/>
        <family val="2"/>
      </rPr>
      <t>6501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6999</t>
    </r>
  </si>
  <si>
    <r>
      <rPr>
        <sz val="10"/>
        <color indexed="10"/>
        <rFont val="Calibri"/>
        <family val="2"/>
      </rPr>
      <t>7001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7999</t>
    </r>
  </si>
  <si>
    <r>
      <rPr>
        <sz val="10"/>
        <color indexed="10"/>
        <rFont val="Calibri"/>
        <family val="2"/>
      </rPr>
      <t>8001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8999</t>
    </r>
  </si>
  <si>
    <r>
      <rPr>
        <sz val="10"/>
        <color indexed="10"/>
        <rFont val="Calibri"/>
        <family val="2"/>
      </rPr>
      <t>9001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9499</t>
    </r>
  </si>
  <si>
    <r>
      <rPr>
        <sz val="10"/>
        <color indexed="10"/>
        <rFont val="Calibri"/>
        <family val="2"/>
      </rPr>
      <t>9501</t>
    </r>
    <r>
      <rPr>
        <sz val="10"/>
        <rFont val="Calibri"/>
        <family val="2"/>
      </rPr>
      <t xml:space="preserve"> hasta </t>
    </r>
    <r>
      <rPr>
        <sz val="10"/>
        <color indexed="10"/>
        <rFont val="Calibri"/>
        <family val="2"/>
      </rPr>
      <t>9999</t>
    </r>
  </si>
  <si>
    <t>HUGO CABRERA</t>
  </si>
  <si>
    <t>2003</t>
  </si>
  <si>
    <t>2004</t>
  </si>
  <si>
    <t>2005</t>
  </si>
  <si>
    <t>Entretela Tejida FUS E140S - 100% Algodón (A 1.50m x L 100m)</t>
  </si>
  <si>
    <t>Entretela 609 WHITE - Algodón/Poliester 80/20 - 115 g/m2 - (A 1.10m x L 100m)</t>
  </si>
  <si>
    <t>Entretela Tejida FUS F-100 S-3620 - 100% Algodón (A 1.10m x L 100m)</t>
  </si>
  <si>
    <t>Entretela Tejida FUS F-100 S-3620 - 100% Algodón (cortada. A 3cm x L 100m)</t>
  </si>
  <si>
    <t>DEPARTAMENTO DE PRODUCCION</t>
  </si>
  <si>
    <t>INGRESOS
DEL 01/08/2018
AL 31/08/2018</t>
  </si>
  <si>
    <t>Tela 100% algodón - Llana rosado (JPA 2578/1)</t>
  </si>
  <si>
    <t>Tela 100% algodón - Llana gris/blanco (1891/1)</t>
  </si>
  <si>
    <t>Tela 100% algodón - Estampada blanco/azul (2522)</t>
  </si>
  <si>
    <t>Tela 100% algodón - Llana dibujo azul (1825/2)</t>
  </si>
  <si>
    <t>Tela 100% algodón - Rayas celeste/blanco (1857/1)</t>
  </si>
  <si>
    <t>Tela 100% algodón - Llana salmón (1903/1)</t>
  </si>
  <si>
    <t>Tela 100% algodón - Llana lila (1958/1)</t>
  </si>
  <si>
    <t>Tela 100% algodón - Cuadros (md) blanco/celeste (1881/1)</t>
  </si>
  <si>
    <t>Tela 100% algodón - Cuadros (gr) azul/blanco/rojo (1802/1)</t>
  </si>
  <si>
    <t>Tela 100% algodón - Cuadros (md) blanco/curuba (1881/2)</t>
  </si>
  <si>
    <t>Tela 100% algodón - Cuadros (pq) azul/blanco (1944/1)</t>
  </si>
  <si>
    <t>Tela 100% algodón - Llana lila (1513/4)</t>
  </si>
  <si>
    <t>Tela 100% algodón - Llana mini cuadros blanco/azul (1822/2)</t>
  </si>
  <si>
    <t>Tela 100% algodón - Llana mini cuadros blanco/azul (1895/1)</t>
  </si>
  <si>
    <t>Tela 100% algodón - Llana mini cuadros blanco/vino (JPA 1887/1)</t>
  </si>
  <si>
    <t>Tela 100% algodón - Llana mini cuadros blanco/azul (1822/1)</t>
  </si>
  <si>
    <t>Tela 100% algodón - Llana mini cuadros blanco/celeste (1926/2)</t>
  </si>
  <si>
    <t>Tela 100% algodón - Llana vino (1891/2)</t>
  </si>
  <si>
    <t>Tela 100% algodón - Llana dibujo vino (1928/1)</t>
  </si>
  <si>
    <t>Tela 100% algodón - Llana dibujo azul (1898/2)</t>
  </si>
  <si>
    <t>Tela 100% algodón - Llana lila (1846/2)</t>
  </si>
  <si>
    <t>Tela 100% algodón - Llana dibujo azul (1928/2)</t>
  </si>
  <si>
    <t>Tela 100% algodón - Rayas blanco/celeste (1821/1)</t>
  </si>
  <si>
    <t>Tela 100% algodón - Cuadros (gr) gris/rosado (1911/2)</t>
  </si>
  <si>
    <t>Tela 100% algodón - Cuadros (gr) gris/verde (1911/3)</t>
  </si>
  <si>
    <t>Tela 100% algodón - Cuadros (pq) azul/celeste (1921/1)</t>
  </si>
  <si>
    <t>Tela 100% algodón - Cuadros (gr) vino/rojo/blanco (1913/2)</t>
  </si>
  <si>
    <t>Tela 100% algodón - Llana gris (1958/2)</t>
  </si>
  <si>
    <t>Tela 100% algodón - Llana celeste (1954/1)</t>
  </si>
  <si>
    <t>Tela 100% algodón - Llana azul (1954/2)</t>
  </si>
  <si>
    <t>Tela 100% algodón - Cuadros (pq) azul/blanco/vino (1923/1)</t>
  </si>
  <si>
    <t>Tela 100% algodón - Cuadros (gr) azul/blanco/rojo (1801/1)</t>
  </si>
  <si>
    <t>Tela 100% algodón - Cuadros (pq) vino/azul/celeste (JPA 2120/1)</t>
  </si>
  <si>
    <t>Tela 100% algodón - Cuadros (pq) azul/naranja (1937/2)</t>
  </si>
  <si>
    <t>Tela 100% algodón - Cuadros (pq) azul/verde/blanco (1923/2)</t>
  </si>
  <si>
    <t>Tela 100% algodón - Estampado blanco (0172)</t>
  </si>
  <si>
    <t>Tela 100% algodón - Llana celeste (1903)</t>
  </si>
  <si>
    <t>Tela 100% algodón - Estampado blanco/gris (1222.08 - SP 008/1)</t>
  </si>
  <si>
    <t>Tela 100% algodón - Llana dibujo blanco (99110/1)</t>
  </si>
  <si>
    <t>Tela 100% algodón - Llana mostaza (91478)</t>
  </si>
  <si>
    <t>Tela 100% algodón - Cuadros (gr) blanco jaspeado (JPA 1985/2)</t>
  </si>
  <si>
    <t>Tela 100% algodón - Cuadros (pq) vino/blanco (JPA 1977/2)</t>
  </si>
  <si>
    <t>Tela 100% algodón - Llana blanco (20501/12)</t>
  </si>
  <si>
    <t>Tela 100% algodón - Llana dibujo blanco (99210/01)</t>
  </si>
  <si>
    <t>Tela 100% algodón - Estampado blanco/azul (1222.02 - SP 002/01)</t>
  </si>
  <si>
    <t>Tela 100% algodón - Estampado blanco/azul (1222.03 - SP 003/01)</t>
  </si>
  <si>
    <t>Tela 100% algodón - Llana celeste (OXFORT/3)</t>
  </si>
  <si>
    <t>Tela 100% algodón - Rayas gris/blanco (JPA 1962/1)</t>
  </si>
  <si>
    <t>Tela 100% algodón - Rayas celeste/blanco (JPA 1962/3)</t>
  </si>
  <si>
    <t>Tela 100% algodón - Cuadros (gr) azul/blanco (JPA 1984/1)</t>
  </si>
  <si>
    <t>Tela 100% algodón - Llana azul (2677/2)</t>
  </si>
  <si>
    <t>Tela 100% algodón - Cuadros (gr) verde/azul/celeste (JPA 1981/1)</t>
  </si>
  <si>
    <t>Tela 100% algodón - Estampado azul/blanco (1222.05 - SP 005/01)</t>
  </si>
  <si>
    <t>Tela 100% algodón - Estampado celeste/blanco (1222.06 - SP 006/01)</t>
  </si>
  <si>
    <t>Tela 100% algodón - Llana mini rayas gris/blanco (JPA 1846/3)</t>
  </si>
  <si>
    <t>Tela 100% algodón - Llana celeste (0760 OXFORT)</t>
  </si>
  <si>
    <t>Tela 100% algodón - Llana rojo (2670/04)</t>
  </si>
  <si>
    <t>Tela 100% algodón - Estampado verde/blanco/azul (6600)</t>
  </si>
  <si>
    <t>Tela 100% algodón - Estampado azul/blanco/celeste (4027)</t>
  </si>
  <si>
    <t>Tela 100% algodón - Llana dibujo celeste (JPA 2118/2)</t>
  </si>
  <si>
    <t>Tela 100% algodón - Llana dibujo azul (JPA 2118/1)</t>
  </si>
  <si>
    <t>Tela 100% algodón - Llana azul dibujo puntos rojos (JPA 2033/2)</t>
  </si>
  <si>
    <t>Tela 100% algodón - Llana azul dibujo puntos dorados (JPA 2033/1)</t>
  </si>
  <si>
    <t>Tela 100% algodón - Llana azul dibujo (JPA 2060/1)</t>
  </si>
  <si>
    <t>Tela 100% algodón - Llana celeste dibujo (JPA 2060/2)</t>
  </si>
  <si>
    <t>Tela 100% algodón - Cuadros (gr) celeste (JPA 2051/1)</t>
  </si>
  <si>
    <t>Tela 100% algodón - Cuadros (gr) vino (JPA 2051/2)</t>
  </si>
  <si>
    <t>Tela 100% algodón - Cuadros (gr) azul/gris (JPA 2029/1)</t>
  </si>
  <si>
    <t>Tela 100% algodón - Cuadros (pq) blanco/celeste/negro (JPA 2008/1)</t>
  </si>
  <si>
    <t>Tela 100% algodón - Rayas celeste/blanco/negro (JPA 2010/1)</t>
  </si>
  <si>
    <t>Tela 100% algodón - Llana azul/blanco dibujo (JPA 2038/1)</t>
  </si>
  <si>
    <t>Tela 100% algodón - Llana rosado/blanco dibujo (JPA 2038/3)</t>
  </si>
  <si>
    <t>Tela 100% algodón - Llana gris/blanco dibujo rayas (JPA 2037/1)</t>
  </si>
  <si>
    <t>Tela 100% algodón - Llana azul/blanco dibujo rayas (JPA 2037/2)</t>
  </si>
  <si>
    <t>Tela 100% algodón - Llana beige/rosado dibujo rayas (JPA 2040/1)</t>
  </si>
  <si>
    <t>Tela 100% algodón - Llana beige/celeste dibujo rayas (JPA 2040/2)</t>
  </si>
  <si>
    <t>Tela 100% algodón - Cuadros (gr) azul/vino/gris/blanco (JPA 2044/1)</t>
  </si>
  <si>
    <t>Tela 100% algodón - Cuadros (gr) azul/verde/gris/blanco (JPA 2044/2)</t>
  </si>
  <si>
    <t>Tela 100% algodón - Cuadros (gr) azul/beige (JPA 2096/1)</t>
  </si>
  <si>
    <t>Tela 100% algodón - Rayas azul/blanco (JPA 2083/1)</t>
  </si>
  <si>
    <t>Tela 100% algodón - Llana azul claro (JPA 2077/1)</t>
  </si>
  <si>
    <t>Tela 100% algodón - Rayas celeste/blanco (JPA 2083/2)</t>
  </si>
  <si>
    <t>Tela 100% algodón - Llana celeste claro (JPA 2077/2)</t>
  </si>
  <si>
    <t>Tela 100% algodón - Rayas blanco/azul (JPA 2083/3)</t>
  </si>
  <si>
    <t>Tela 100% algodón - Llana azul (JPA 2081/1)</t>
  </si>
  <si>
    <t>Tela 100% algodón - Cuadros (pq) blanco/gris (JPA 2092/2)</t>
  </si>
  <si>
    <t>Tela 100% algodón - Llana celeste (JPA 2081/2)</t>
  </si>
  <si>
    <t>Tela 100% algodón - Llana rosada (JPA 2077/3)</t>
  </si>
  <si>
    <t>Tela 100% algodón - Llana blanco (TM01/1)</t>
  </si>
  <si>
    <t>Tela 100% algodón - Llana negro (TM01/2)</t>
  </si>
  <si>
    <t>Tela 100% algodón - Llana vino (TM01/3)</t>
  </si>
  <si>
    <t>1158</t>
  </si>
  <si>
    <t>Tela 100% algodón - Llana Palo de rosa (JPA 2102/1)</t>
  </si>
  <si>
    <t>1159</t>
  </si>
  <si>
    <t>Tela 100% algodón - Llana azul (JPA 2102/2)</t>
  </si>
  <si>
    <t>1160</t>
  </si>
  <si>
    <t>Tela 100% algodón - Llana celeste (JPA 2102/3)</t>
  </si>
  <si>
    <t>1161</t>
  </si>
  <si>
    <t>Tela 100% algodón - Llana blanco (JPA 2102/4)</t>
  </si>
  <si>
    <t>1162</t>
  </si>
  <si>
    <t>Tela 100% algodón - Llana blanco (JPA 2109/1)</t>
  </si>
  <si>
    <t>1163</t>
  </si>
  <si>
    <t>Tela 100% algodón - Cuadros (gr) azul/blanco (JPA 2112/1)</t>
  </si>
  <si>
    <t>1164</t>
  </si>
  <si>
    <t>Tela 100% algodón - Llana azul/blanco (JPA 2117/1)</t>
  </si>
  <si>
    <t>1165</t>
  </si>
  <si>
    <t>Tela 100% algodón - Llana vino/blanco (JPA 2117/2)</t>
  </si>
  <si>
    <t>1166</t>
  </si>
  <si>
    <t>Tela 100% algodón - Cuadros (md) blanco/azul/celeste/amarillo (JPA 2123/1)</t>
  </si>
  <si>
    <t>1167</t>
  </si>
  <si>
    <t>Tela 100% algodón - Cuadros (md) blanco/vino/curuba/celeste (JPA 2123/2)</t>
  </si>
  <si>
    <t>1168</t>
  </si>
  <si>
    <t>Tela 100% algodón - Llana dibujo azul/bvlanco (JPA 2133/1)</t>
  </si>
  <si>
    <t>1169</t>
  </si>
  <si>
    <t>Tela 100% algodón - Cuadros (md) blanco/azul/celeste (WS 413/1)</t>
  </si>
  <si>
    <t>1170</t>
  </si>
  <si>
    <t>Tela 100% algodón - Cuadros (md) blanco/azul/naranja (WS 413/2)</t>
  </si>
  <si>
    <t>Reata beige/azul - color 6223 (rollo x 200m)</t>
  </si>
  <si>
    <t>Reata azul/blanca - color 5834 (rollo x 50 m)</t>
  </si>
  <si>
    <t>Reata azul/celeste/blanco - color 1880 (rollo x 50 m)</t>
  </si>
  <si>
    <t>Reata blanca/azul/caqui - color 5895 (rollo x 50 m)</t>
  </si>
  <si>
    <t>Reata doble Faz beige/celeste - color 5533 (rollo x 50 m)</t>
  </si>
  <si>
    <t>Reata beige/cefe oscuro/café claro - color 5896 (rollo x 50 m)</t>
  </si>
  <si>
    <t>Reata verde florescente/azul/blanco/naranja fluorescente - color 5050 (rollo x 50 m)</t>
  </si>
  <si>
    <t>Reata beige/azul/celeste - color 5931 (rollo x 50 m)</t>
  </si>
  <si>
    <t>Reata beige/cefe oscuro/caqui - color 5897 (rollo x 50 m)</t>
  </si>
  <si>
    <t>Reata bandera azul/rojo/blanco/gris - color 6685 (rollo x 200 m)</t>
  </si>
  <si>
    <t>Hilo blanco C1700 (5000 m)</t>
  </si>
  <si>
    <t>Hilo gris oscuro C9974 (2500 m)</t>
  </si>
  <si>
    <t>Hilo miel 41DVA (2500 m)</t>
  </si>
  <si>
    <t>Hilo azul marino C7960 (2500 m)</t>
  </si>
  <si>
    <t>Hilo celeste C7177 (2500 m)</t>
  </si>
  <si>
    <t>Hilo beige C8106 (2500 m)</t>
  </si>
  <si>
    <t>Hilo vino oscuro C3944 (2500 m)</t>
  </si>
  <si>
    <t>Hilo rosado C3106 (2500 m)</t>
  </si>
  <si>
    <t>Hilo negro C9700 (2500 m)</t>
  </si>
  <si>
    <t>Hilo gris claro C9350 (2500 m)</t>
  </si>
  <si>
    <t>Hilo rojo C3890 (2500 m)</t>
  </si>
  <si>
    <t>Hilo café 07DVA (2500 m)</t>
  </si>
  <si>
    <t>Hilo vino C3961 (2500 m)</t>
  </si>
  <si>
    <t>Hilo café C8524 (2500 m)</t>
  </si>
  <si>
    <t>Hilo amarillo oscuro C1279 (2500 m)</t>
  </si>
  <si>
    <t>Hilo verde limon C5369 (2500 m)</t>
  </si>
  <si>
    <t>Hilo turqueza C2562 (2500 m)</t>
  </si>
  <si>
    <t>Hilo azul electrico C2500 (2500 m)</t>
  </si>
  <si>
    <t>Hilo tomate C2113 (2500 m)</t>
  </si>
  <si>
    <t>Hilo verde oscuro C5122 (2500 m)</t>
  </si>
  <si>
    <t>Hilo verde C5178 (2500 m)</t>
  </si>
  <si>
    <t>Hilo Fucsia C167 (2500 m)</t>
  </si>
  <si>
    <t>Hilo verde C5716 (2500 m)</t>
  </si>
  <si>
    <t>Hilo beige oscuro C8335 (2500 m)</t>
  </si>
  <si>
    <t>Hilo Caqui C8506 (2500 m)</t>
  </si>
  <si>
    <t>Hilo café C8948 (2500 m)</t>
  </si>
  <si>
    <t>Hilo verde militar 02KVA (2500 m)</t>
  </si>
  <si>
    <t>Hilo blanco CB1003 (2500 m)</t>
  </si>
  <si>
    <t>Hilo azul 07121 (2500 m)</t>
  </si>
  <si>
    <t>Botón grande blanco/transparente 127 BP-T18/4 (sin marcado)</t>
  </si>
  <si>
    <t>Botón pequeño blanco/transparente 127 BP-T14/4 (sin marcado)</t>
  </si>
  <si>
    <t>Boton grande transparente 144 BC-T18/4 (sin marcado)</t>
  </si>
  <si>
    <t>Botón grande blanco mate 144 BC-T18/4 (sin marcado)</t>
  </si>
  <si>
    <t>Botón pequeño blanco mate 144 BC-T14/4 (sin marcado)</t>
  </si>
  <si>
    <t>Botón zanzibar grande azul/banco 7433-T20/4 (sin marcado)</t>
  </si>
  <si>
    <t>Botón zanzibar pequeño azul/banco 7431-T14/4 (sin marcado)</t>
  </si>
  <si>
    <t>Botón grande gris claro 144 BB-T18/4 (sin marcado)</t>
  </si>
  <si>
    <t>Botón pequeño gris claro 144 BB-T14/4 (sin marcado)</t>
  </si>
  <si>
    <t>Boton grande gris jaspeado chocolate 144 BB-T18/4 (sin marcado)</t>
  </si>
  <si>
    <t>Boton pequeño gris jaspeado chocolate 144 BB-T14/4 (sin marcado)</t>
  </si>
  <si>
    <t>Boton grande beige jaspeado café 144 BB-T18/4 (sin marcado)</t>
  </si>
  <si>
    <t>Boton pequeño beige jaspeado café 144 BB-T14/4 (sin marcado)</t>
  </si>
  <si>
    <t>Botón grande habano jaspeado café 144 BB-T18/4 (sin marcado)</t>
  </si>
  <si>
    <t>Botón pequeño habano jaspeado café 144 BB-T14/4 (sin marcado)</t>
  </si>
  <si>
    <t>Botón kumbar grande leña/café 5202-T18/4 (sin marcado)</t>
  </si>
  <si>
    <t>Botón kumbar pequeño leña/café 5940-T14/4 (sin marcado)</t>
  </si>
  <si>
    <t>Botón grande negro mate 144 BC-T18/4 (sin marcado)</t>
  </si>
  <si>
    <t>Botón pequeño negro mate 144 BC-T14/4 (sin marcado)</t>
  </si>
  <si>
    <t>Botón grande miel claro 127 BP-T18/4 (sin marcado)</t>
  </si>
  <si>
    <t>Botón pequeño miel claro 127 BP-T14/4 (sin marcado)</t>
  </si>
  <si>
    <t>Botón grande habano jaspeado café 144 BB-T18/4 (marcado)</t>
  </si>
  <si>
    <t>Botón pequeño habano jaspeado café 144 BB-T14/4 (marcado)</t>
  </si>
  <si>
    <t>Boton grande beige jaspeado amarillento 144 BB-T18/4 (marcado)</t>
  </si>
  <si>
    <t>Boton pequeño beige jaspeado amarillento 144 BB-T14/4 (marcado)</t>
  </si>
  <si>
    <r>
      <rPr>
        <b/>
        <sz val="12"/>
        <rFont val="Arial"/>
        <family val="2"/>
      </rPr>
      <t xml:space="preserve">INVENTARIO CAMISAS - </t>
    </r>
    <r>
      <rPr>
        <sz val="12"/>
        <rFont val="Arial"/>
        <family val="2"/>
      </rPr>
      <t>PRODUCTO TERMINADO EN PLANTA AL 31/07/2018</t>
    </r>
  </si>
  <si>
    <t>SALDO 
INVENTARIO AL
31/07/2018</t>
  </si>
  <si>
    <t>Reata azul/beige/rojo - color 5586 (rollo x 50 m)</t>
  </si>
  <si>
    <t>Hilo azul cobalto C7508 (2500 m)</t>
  </si>
  <si>
    <t>Tela 100% algodón - Cuadros (md) azul/celeste/gris/blanco</t>
  </si>
  <si>
    <t>Tela 100% algodón - Cuadros (gr) azul/celeste</t>
  </si>
  <si>
    <t>Tela 100% algodón - Estampada azul/blanco</t>
  </si>
  <si>
    <t>Tela 100% algodón - Estampada blanco/azul</t>
  </si>
  <si>
    <t>Tela 100% algodón - Cuadros (gr) beige/azul/celeste</t>
  </si>
  <si>
    <t>Tela 100% algodón - Llana rosado</t>
  </si>
  <si>
    <t>Tela 100% algodón - Cuadros (md) blanco/azul (1881/3)</t>
  </si>
  <si>
    <t>Tela 100% algodón - Cuadros (gr) beige/gris/rojo (1755/1)</t>
  </si>
  <si>
    <t>Tela 100% algodón - Cuadros (gr) azul/blanco/celeste (1786/2)</t>
  </si>
  <si>
    <t>Tela 100% algodón - Cuadros (gr) azul/beige/rosado (1876/1)</t>
  </si>
  <si>
    <t>Tela 100% algodón - Cuadros (gr) azul/beige/celeste (1876/2)</t>
  </si>
  <si>
    <t>Tela 100% algodón - Rayas beige jaspeado/vino (1773/2)</t>
  </si>
  <si>
    <t>Tela 100% algodón - Cuadros (md) beige/coral/gris (1705/1)</t>
  </si>
  <si>
    <t>Tela 100% algodón - Cuadros (md) rojo/gris/azul/lila (A65/2)</t>
  </si>
  <si>
    <t>Tela 100% algodón - Rayas beige jaspeado/celeste (1773/1)</t>
  </si>
  <si>
    <t>Tela 100% algodón - Llano celeste jaspeado (1836/2)</t>
  </si>
  <si>
    <t>Tela 100% algodón - Rayas palo de rosa/blanco (1857/2)</t>
  </si>
  <si>
    <t>Tela 100% algodón - Llana gris jaspeado (1890/2)</t>
  </si>
  <si>
    <t>Tela 100% algodón - Llana dibujo uva (1825/1)</t>
  </si>
  <si>
    <t>Tela 100% algodón - Cuadros (md) azul/turqueza/marron/blanco (1883/2)</t>
  </si>
  <si>
    <t>Tela 100% algodón - Cuadros (md) azul/rojo/rosado/blanco (1883/1)</t>
  </si>
  <si>
    <t>Tela 100% algodón - Llana dibujo azul/blanco (JPA 2115/1)</t>
  </si>
  <si>
    <t>Tela 100% algodón - Cuadros (md) beige/azul (JPA 2125/1)</t>
  </si>
  <si>
    <t>Tela 100% algodón - Cuadros (gr) azul/blanco (1913/1)</t>
  </si>
  <si>
    <t>Tela 100% algodón - Cuadros (pq) vino/lila (1921/2)</t>
  </si>
  <si>
    <t>Tela 100% algodón - Llana beige jaspeado (2076/3)</t>
  </si>
  <si>
    <t>Tela 100% algodón - Cuadros (md) azul/celeste/gris/blanco (1922/1)</t>
  </si>
  <si>
    <t>Tela 100% algodón - Cuadros (gr) azul/blanco/rojo (1800/1)</t>
  </si>
  <si>
    <t>Tela 100% algodón - Cuadros (md) rojo/celeste/gris/blanco (1922/2)</t>
  </si>
  <si>
    <t>Tela 100% algodón - Cuadros (md) beige/azul/vino (1919/2)</t>
  </si>
  <si>
    <t>Tela 100% algodón - Cuadros (md) beige/azul/verde (1919/1)</t>
  </si>
  <si>
    <t>Tela 100% algodón - Cuadros (md) beige/vino (JPA 2125/2)</t>
  </si>
  <si>
    <t>Tela 100% algodón - Cuadros (pq) azul/turqueza (1937/1)</t>
  </si>
  <si>
    <t>Tela 100% algodón - Estampado blanco/vino (2831/2)</t>
  </si>
  <si>
    <t>Tela 100% algodón - Estampado blanco/celeste (35958)</t>
  </si>
  <si>
    <t>Tela 100% algodón - Cuadros (gr) azul/beige/rojo (JPA 1990/1)</t>
  </si>
  <si>
    <t>9508</t>
  </si>
  <si>
    <t xml:space="preserve">Etiqueta de cartón up café (Indutexco) </t>
  </si>
  <si>
    <t>Botón grande café mate144 BB-T18/2 (marcado)</t>
  </si>
  <si>
    <t>Botón pequeño café mate144 BB-T14/2 (marcado)</t>
  </si>
  <si>
    <t>5557</t>
  </si>
  <si>
    <t>5558</t>
  </si>
  <si>
    <t>Botón grande blanco mate (marcado)</t>
  </si>
  <si>
    <t>Botón pequeño blanco mate  (marcado)</t>
  </si>
  <si>
    <t>5559</t>
  </si>
  <si>
    <t>Botón grande azul café (marcado)</t>
  </si>
  <si>
    <t>5563</t>
  </si>
  <si>
    <t>Botón grande gris café (marcado)</t>
  </si>
  <si>
    <t>5565</t>
  </si>
  <si>
    <t>Botón grande crudo café (marcado)</t>
  </si>
  <si>
    <t>5567</t>
  </si>
  <si>
    <t>Botón grande negro café (marcado)</t>
  </si>
  <si>
    <t>5057</t>
  </si>
  <si>
    <t>5058</t>
  </si>
  <si>
    <t>Botón grande belgrado blanco mate T18/2 (sin marcado)</t>
  </si>
  <si>
    <t>Botón pequeño belgadro blanco mate T18/2(sin marcado)</t>
  </si>
  <si>
    <t>5059</t>
  </si>
  <si>
    <t>5060</t>
  </si>
  <si>
    <t>5062</t>
  </si>
  <si>
    <t>5063</t>
  </si>
  <si>
    <t>5065</t>
  </si>
  <si>
    <t>5066</t>
  </si>
  <si>
    <t>5067</t>
  </si>
  <si>
    <t>Botón grande azul café  (sin marcado)</t>
  </si>
  <si>
    <t>Botón pequeño azul café (sin marcado)</t>
  </si>
  <si>
    <t>Botón pequeño azul café  (sin marcado)</t>
  </si>
  <si>
    <t>Botón grande vino café  (sin marcado)</t>
  </si>
  <si>
    <t>Botón grande gris café  (sin marcado)</t>
  </si>
  <si>
    <t>Botón pequeño gris café  (sin marcado)</t>
  </si>
  <si>
    <t>Botón grande crudo café (sin marcado)</t>
  </si>
  <si>
    <t>5068</t>
  </si>
  <si>
    <t>Botón pequeño crudo café (sin marcado)</t>
  </si>
  <si>
    <t>5070</t>
  </si>
  <si>
    <t>5071</t>
  </si>
  <si>
    <t xml:space="preserve">Botón grande negro crudo (sin marcado) </t>
  </si>
  <si>
    <t>5074</t>
  </si>
  <si>
    <t>5075</t>
  </si>
  <si>
    <t>Botón grande negro gris (sin maracdo)</t>
  </si>
  <si>
    <t>5076</t>
  </si>
  <si>
    <t>Botón pequeño negro gris (sin marcado)</t>
  </si>
  <si>
    <t>5077</t>
  </si>
  <si>
    <t xml:space="preserve">Botón grande café gris (sin marcado) </t>
  </si>
  <si>
    <t>5078</t>
  </si>
  <si>
    <t xml:space="preserve">Botón pequeño café gris (sin marcado) </t>
  </si>
  <si>
    <t>5081</t>
  </si>
  <si>
    <t xml:space="preserve">Botón grande café beige (sin marcado) </t>
  </si>
  <si>
    <t>5082</t>
  </si>
  <si>
    <t>Botón pequeño café beige (sin marcado)</t>
  </si>
  <si>
    <t>5085</t>
  </si>
  <si>
    <t>Botón grande blanco negro T18/4 ( sin marcado)</t>
  </si>
  <si>
    <t>5086</t>
  </si>
  <si>
    <t>Botón pequeño blanco negro T14/4 (sin marcado)</t>
  </si>
  <si>
    <t>5080</t>
  </si>
  <si>
    <t>Botón pequeño gris mate (sin marcado)</t>
  </si>
  <si>
    <t>9007</t>
  </si>
  <si>
    <t>Etiqueta de cartón Button up rosada (Indutexco)</t>
  </si>
  <si>
    <t>9008</t>
  </si>
  <si>
    <t>Etiqueta de cartón Button up gris (Indutexco)</t>
  </si>
  <si>
    <t>9009</t>
  </si>
  <si>
    <t>Etiqueta de cartón Button up tomate(Indutexco)</t>
  </si>
  <si>
    <t>9011</t>
  </si>
  <si>
    <t xml:space="preserve">Etiqueta de cartón PERFECT FIT </t>
  </si>
  <si>
    <t>9012</t>
  </si>
  <si>
    <t>Etiqueta de cartón azul/rojo OUTLAND</t>
  </si>
  <si>
    <t>9010</t>
  </si>
  <si>
    <t xml:space="preserve">Etiqueta de cartón gris Dbond con cordón </t>
  </si>
  <si>
    <t xml:space="preserve">Cordon color rosado para etiquetas de cartón </t>
  </si>
  <si>
    <t xml:space="preserve">Cordon color amarillo para etiquetas de cartón </t>
  </si>
  <si>
    <t xml:space="preserve">Cordon color azul para etiquetas de cartón </t>
  </si>
  <si>
    <t xml:space="preserve">Cordon color gris para etiquetas de cartón </t>
  </si>
  <si>
    <t xml:space="preserve">Cordon color negra etiquetas de cartón </t>
  </si>
  <si>
    <t>mt</t>
  </si>
  <si>
    <t>PRODUCTO</t>
  </si>
  <si>
    <t>XXS</t>
  </si>
  <si>
    <t>Codigo</t>
  </si>
  <si>
    <t>Talla</t>
  </si>
  <si>
    <t>Genero</t>
  </si>
  <si>
    <t>Femenino</t>
  </si>
  <si>
    <t>Masculino</t>
  </si>
  <si>
    <t>Bebe</t>
  </si>
  <si>
    <t>Infantil</t>
  </si>
  <si>
    <t>Adulto</t>
  </si>
  <si>
    <t>Segmento</t>
  </si>
  <si>
    <t xml:space="preserve">Prenda </t>
  </si>
  <si>
    <t>Camisa</t>
  </si>
  <si>
    <t>Blusa</t>
  </si>
  <si>
    <t>Pantalon</t>
  </si>
  <si>
    <t>Producto</t>
  </si>
  <si>
    <t>Figura</t>
  </si>
  <si>
    <t>Regular Fit</t>
  </si>
  <si>
    <t>Slem Fit</t>
  </si>
  <si>
    <t>Super Slem Fit</t>
  </si>
  <si>
    <t>Tailored Fit</t>
  </si>
  <si>
    <t>Junior</t>
  </si>
  <si>
    <t>Polo</t>
  </si>
  <si>
    <t>XXX</t>
  </si>
  <si>
    <t>No. DISEÑO</t>
  </si>
  <si>
    <t>AÑO</t>
  </si>
  <si>
    <t>VERIFICADOR</t>
  </si>
  <si>
    <t>1.</t>
  </si>
  <si>
    <t>2.</t>
  </si>
  <si>
    <t>3.</t>
  </si>
  <si>
    <t>4.</t>
  </si>
  <si>
    <t>Secuencial de diseño</t>
  </si>
  <si>
    <t>Dos Ultimos Digitos del año</t>
  </si>
  <si>
    <t>Calidad</t>
  </si>
  <si>
    <t>Primera</t>
  </si>
  <si>
    <t>Segunda</t>
  </si>
  <si>
    <t>Tercera</t>
  </si>
  <si>
    <t xml:space="preserve">6. </t>
  </si>
  <si>
    <t>CODIFICACION DE CAMISA</t>
  </si>
  <si>
    <t>FIGURA</t>
  </si>
  <si>
    <t>5.</t>
  </si>
  <si>
    <t>7.</t>
  </si>
  <si>
    <t>UNIDAD</t>
  </si>
  <si>
    <t>Entretela Tejida FUS E140A - 100% Algodón (Cortada A 3cm x L 50m)</t>
  </si>
  <si>
    <t>PRECIO</t>
  </si>
  <si>
    <r>
      <t xml:space="preserve">SALDOS DE INVENTARIO AL 31/07/2018 - INDUTEXCO CIA. LTDA
</t>
    </r>
    <r>
      <rPr>
        <b/>
        <sz val="12"/>
        <color indexed="8"/>
        <rFont val="Arial"/>
        <family val="2"/>
      </rPr>
      <t>(MATERIA PRIMA, MATERIALES E INSUMOS)</t>
    </r>
  </si>
  <si>
    <t>Código</t>
  </si>
  <si>
    <t>Precio</t>
  </si>
  <si>
    <t>241-033-17</t>
  </si>
  <si>
    <t>241-035-17</t>
  </si>
  <si>
    <t>241-059-17</t>
  </si>
  <si>
    <t>241-048-17</t>
  </si>
  <si>
    <t>241-051-17</t>
  </si>
  <si>
    <t>241-056-17</t>
  </si>
  <si>
    <t>241-057-17</t>
  </si>
  <si>
    <t>241-060-18</t>
  </si>
  <si>
    <t>241-063-18</t>
  </si>
  <si>
    <t>241-065-18</t>
  </si>
  <si>
    <t>241-067-18</t>
  </si>
  <si>
    <t>241-128-18</t>
  </si>
  <si>
    <t>241-128-PL-18</t>
  </si>
  <si>
    <t>241-129-18</t>
  </si>
  <si>
    <t>241-130-18</t>
  </si>
  <si>
    <t>241-131-18</t>
  </si>
  <si>
    <t>241-113-18</t>
  </si>
  <si>
    <t>241-113-PL-18</t>
  </si>
  <si>
    <t>241-114-18</t>
  </si>
  <si>
    <t>241-115-18</t>
  </si>
  <si>
    <t>241-115-PL-18</t>
  </si>
  <si>
    <t>241-118-18</t>
  </si>
  <si>
    <t>241-118-PL-18</t>
  </si>
  <si>
    <t>241-126-18</t>
  </si>
  <si>
    <t>241-126-PL-18</t>
  </si>
  <si>
    <t>241-120-18</t>
  </si>
  <si>
    <t>241-120-PL-18</t>
  </si>
  <si>
    <t>241-121-18</t>
  </si>
  <si>
    <t>241-121-PL-18</t>
  </si>
  <si>
    <t>241-122-18</t>
  </si>
  <si>
    <t>241-122-PL-18</t>
  </si>
  <si>
    <t>241-123-18</t>
  </si>
  <si>
    <t>241-125-PL-18</t>
  </si>
  <si>
    <t>241-127-PL-18</t>
  </si>
  <si>
    <t>241-123-PL-18</t>
  </si>
  <si>
    <t>241-125-18</t>
  </si>
  <si>
    <t>241-127-18</t>
  </si>
  <si>
    <t>241-117-PL-18</t>
  </si>
  <si>
    <t>241-119-PL-18</t>
  </si>
  <si>
    <t>241-124-PL-18</t>
  </si>
  <si>
    <t>241-116-18</t>
  </si>
  <si>
    <t>241-117-18</t>
  </si>
  <si>
    <t>241-119-18</t>
  </si>
  <si>
    <t>241-124-18</t>
  </si>
  <si>
    <t>241-156-18</t>
  </si>
  <si>
    <t>241-156-PL-18</t>
  </si>
  <si>
    <t>241-157-18</t>
  </si>
  <si>
    <t>241-157-PL-18</t>
  </si>
  <si>
    <t>241-159-18</t>
  </si>
  <si>
    <t>241-159-PL-18</t>
  </si>
  <si>
    <t>241-161-18</t>
  </si>
  <si>
    <t>241-161-PL-18</t>
  </si>
  <si>
    <t>241-162-18</t>
  </si>
  <si>
    <t>241-162-PL-18</t>
  </si>
  <si>
    <t>241-173-18</t>
  </si>
  <si>
    <t>241-173-PL-18</t>
  </si>
  <si>
    <t>241-170-18</t>
  </si>
  <si>
    <t>241-170-PL-18</t>
  </si>
  <si>
    <t>241-171-18</t>
  </si>
  <si>
    <t>241-171-PL-18</t>
  </si>
  <si>
    <t>241-172-18</t>
  </si>
  <si>
    <t>241-172-PL-18</t>
  </si>
  <si>
    <t>241-158-PL-18</t>
  </si>
  <si>
    <t>241-158-18</t>
  </si>
  <si>
    <t>241-209-18</t>
  </si>
  <si>
    <t>241-209-PL-18</t>
  </si>
  <si>
    <t>241-211-18</t>
  </si>
  <si>
    <t>241-211-PL-18</t>
  </si>
  <si>
    <t>241-212-18</t>
  </si>
  <si>
    <t>241-212-PL-18</t>
  </si>
  <si>
    <t>241-210-18</t>
  </si>
  <si>
    <t>241-210-PL-18</t>
  </si>
  <si>
    <t>241-213-18</t>
  </si>
  <si>
    <t>241-213-PL-18</t>
  </si>
  <si>
    <t>241-214-18</t>
  </si>
  <si>
    <t>241-214-PL-18</t>
  </si>
  <si>
    <t>241-215-18</t>
  </si>
  <si>
    <t>241-215-PL-18</t>
  </si>
  <si>
    <t>241-197-18</t>
  </si>
  <si>
    <t>241-197-PL-18</t>
  </si>
  <si>
    <t>241-198-18</t>
  </si>
  <si>
    <t>241-198-PL-18</t>
  </si>
  <si>
    <t>241-199-18</t>
  </si>
  <si>
    <t>241-199-PL-18</t>
  </si>
  <si>
    <t>241-200-PL-18</t>
  </si>
  <si>
    <t>241-202-18</t>
  </si>
  <si>
    <t>241-202-PL-18</t>
  </si>
  <si>
    <t>241-203-18</t>
  </si>
  <si>
    <t>241-203-PL-18</t>
  </si>
  <si>
    <t>241-205-18</t>
  </si>
  <si>
    <t>241-205-PL-18</t>
  </si>
  <si>
    <t>241-206-18</t>
  </si>
  <si>
    <t>241-206-PL-18</t>
  </si>
  <si>
    <t>241-207-18</t>
  </si>
  <si>
    <t>241-207-PL-18</t>
  </si>
  <si>
    <t>241-208-18</t>
  </si>
  <si>
    <t>241232-18</t>
  </si>
  <si>
    <t>241233-18</t>
  </si>
  <si>
    <t>241234-18</t>
  </si>
  <si>
    <t>241235-18</t>
  </si>
  <si>
    <t>241236-18</t>
  </si>
  <si>
    <t>241-204-18</t>
  </si>
  <si>
    <t>241-204-PL-18</t>
  </si>
  <si>
    <t>241-245-18</t>
  </si>
  <si>
    <t>241-245-PL-18</t>
  </si>
  <si>
    <t>241-246-18</t>
  </si>
  <si>
    <t>241-246-PL-18</t>
  </si>
  <si>
    <t>241-200-18</t>
  </si>
  <si>
    <t>Cantidad</t>
  </si>
  <si>
    <t>Observaciones</t>
  </si>
  <si>
    <t>CAMISA M/C</t>
  </si>
  <si>
    <t>CAMISA M/L</t>
  </si>
  <si>
    <t>CAMISA  M/C</t>
  </si>
  <si>
    <t>CAMISA  M/L</t>
  </si>
  <si>
    <t>CAMISA   M/C</t>
  </si>
  <si>
    <t>CAMISA   M/L</t>
  </si>
  <si>
    <t>Descripcion</t>
  </si>
  <si>
    <t>Total US</t>
  </si>
  <si>
    <t>INVENTARIO DE PRODUCTO TERMINADO</t>
  </si>
  <si>
    <t>CODIGO</t>
  </si>
  <si>
    <t>REFERENCIA</t>
  </si>
  <si>
    <t>DESCRIPCION</t>
  </si>
  <si>
    <t>INVENTARIO</t>
  </si>
  <si>
    <t>No. De Caja</t>
  </si>
  <si>
    <t xml:space="preserve">COLECCOÓN MOAR </t>
  </si>
  <si>
    <t>CML-241186-361</t>
  </si>
  <si>
    <t>241-186-18</t>
  </si>
  <si>
    <t xml:space="preserve">Camisa Manga Larga Rayas </t>
  </si>
  <si>
    <t>CML-241186-401</t>
  </si>
  <si>
    <t>Camisa Manga Larga Rayas</t>
  </si>
  <si>
    <t>CML-241186-421</t>
  </si>
  <si>
    <t>CMC-241187-361</t>
  </si>
  <si>
    <t>241-187-18</t>
  </si>
  <si>
    <t xml:space="preserve">Camisa Manga Corta Cuadros </t>
  </si>
  <si>
    <t>CMC-241187-381</t>
  </si>
  <si>
    <t>CMC-241187-401</t>
  </si>
  <si>
    <t>CMC-241187-421</t>
  </si>
  <si>
    <t xml:space="preserve">Camisa Manga Corta Llana </t>
  </si>
  <si>
    <t>CML-241190-361</t>
  </si>
  <si>
    <t>241-190-18</t>
  </si>
  <si>
    <t>Camisa Manga Larga Cuadros</t>
  </si>
  <si>
    <t>CML-241190-381</t>
  </si>
  <si>
    <t>CML-241190-401</t>
  </si>
  <si>
    <t>CML-241190-421</t>
  </si>
  <si>
    <t>CMC-241192-361</t>
  </si>
  <si>
    <t>241-192-18</t>
  </si>
  <si>
    <t>CMC-241192-381</t>
  </si>
  <si>
    <t>CMC-241192-401</t>
  </si>
  <si>
    <t>CMC-241192-421</t>
  </si>
  <si>
    <t>CMC-241194-361</t>
  </si>
  <si>
    <t>241-194-18</t>
  </si>
  <si>
    <t>Camisa Manga Corta Diseño</t>
  </si>
  <si>
    <t>CMC-241194-381</t>
  </si>
  <si>
    <t>CMC-241194-401</t>
  </si>
  <si>
    <t>CMC-241194-421</t>
  </si>
  <si>
    <t>CMC-241195-361</t>
  </si>
  <si>
    <t>241-195-18</t>
  </si>
  <si>
    <t>CMC-241195-381</t>
  </si>
  <si>
    <t>CMC-241195-401</t>
  </si>
  <si>
    <t>CMC-241195-421</t>
  </si>
  <si>
    <t>CMC-241196-361</t>
  </si>
  <si>
    <t>241-196-18</t>
  </si>
  <si>
    <t xml:space="preserve">Camisa Manga Corta Estampada </t>
  </si>
  <si>
    <t>CMC-241196-381</t>
  </si>
  <si>
    <t>CMC-241196-401</t>
  </si>
  <si>
    <t>CMC-241196-421</t>
  </si>
  <si>
    <t>CML-241193-361</t>
  </si>
  <si>
    <t>241-193-18</t>
  </si>
  <si>
    <t xml:space="preserve">Camisa Manga Larga Cuadros </t>
  </si>
  <si>
    <t>CML-241193-381</t>
  </si>
  <si>
    <t>CML-241193-401</t>
  </si>
  <si>
    <t>CML-241193-421</t>
  </si>
  <si>
    <t>CML-241216-361</t>
  </si>
  <si>
    <t>241-216-18</t>
  </si>
  <si>
    <t>Camisa Manga Larga Llana</t>
  </si>
  <si>
    <t>CML-241216-381</t>
  </si>
  <si>
    <t>CML-241216-401</t>
  </si>
  <si>
    <t>CML-241216-421</t>
  </si>
  <si>
    <t>CML-241217-361</t>
  </si>
  <si>
    <t>241-217-18</t>
  </si>
  <si>
    <t>CML-241217-381</t>
  </si>
  <si>
    <t>CML-241217-401</t>
  </si>
  <si>
    <t>Camisa Manga Larga Estampada</t>
  </si>
  <si>
    <t>CML-241217-421</t>
  </si>
  <si>
    <t>CML-241219-361</t>
  </si>
  <si>
    <t>241-219-18</t>
  </si>
  <si>
    <t>CML-241219-381</t>
  </si>
  <si>
    <t>CML-241219-401</t>
  </si>
  <si>
    <t>CML-241219-421</t>
  </si>
  <si>
    <t>CMC-241209-361</t>
  </si>
  <si>
    <t>CMC-241209-381</t>
  </si>
  <si>
    <t>CMC-241209-401</t>
  </si>
  <si>
    <t>CMC-241209-421</t>
  </si>
  <si>
    <t>CMC-241209-441</t>
  </si>
  <si>
    <t>CMC-241211-381</t>
  </si>
  <si>
    <t>CMC-241211-401</t>
  </si>
  <si>
    <t>CMC-241211-421</t>
  </si>
  <si>
    <t>CMC-241211-441</t>
  </si>
  <si>
    <t>CMC-241211-362</t>
  </si>
  <si>
    <t>CMC-241211-382</t>
  </si>
  <si>
    <t>CMC-241211-361</t>
  </si>
  <si>
    <t>CMC-241212-381</t>
  </si>
  <si>
    <t>CMC-241212-421</t>
  </si>
  <si>
    <t>CMC-241212-441</t>
  </si>
  <si>
    <t>CMC-241212-361</t>
  </si>
  <si>
    <t>CMC-241212-401</t>
  </si>
  <si>
    <t>CMC-241212-382</t>
  </si>
  <si>
    <t>CML-241210-361</t>
  </si>
  <si>
    <t>CML-241210-381</t>
  </si>
  <si>
    <t>CML-241210-401</t>
  </si>
  <si>
    <t>CML-241210-441</t>
  </si>
  <si>
    <t>CML-241210-402</t>
  </si>
  <si>
    <t>CML-241210-422</t>
  </si>
  <si>
    <t>CML-241210-421</t>
  </si>
  <si>
    <t>CML-241214-381</t>
  </si>
  <si>
    <t>CML-241214-401</t>
  </si>
  <si>
    <t>CML-241214-442</t>
  </si>
  <si>
    <t>CML-241214-361</t>
  </si>
  <si>
    <t>CML-241214-441</t>
  </si>
  <si>
    <t>CML-241214-382</t>
  </si>
  <si>
    <t>CML-241214-402</t>
  </si>
  <si>
    <t>CML-241214-422</t>
  </si>
  <si>
    <t>CML-241215-361</t>
  </si>
  <si>
    <t>Camisa Manga Larga Llanas</t>
  </si>
  <si>
    <t>CML-241215-401</t>
  </si>
  <si>
    <t>CML-241215-421</t>
  </si>
  <si>
    <t>CML-241215-382</t>
  </si>
  <si>
    <t>CML-241215-402</t>
  </si>
  <si>
    <t>CML-241215-381</t>
  </si>
  <si>
    <t>CML-241215-441</t>
  </si>
  <si>
    <t>CML-241213-382</t>
  </si>
  <si>
    <t>CML-241213-362</t>
  </si>
  <si>
    <t>CML-241213-402</t>
  </si>
  <si>
    <t>CMC-241198-361</t>
  </si>
  <si>
    <t>CMC-241198-401</t>
  </si>
  <si>
    <t>CMC-241198-421</t>
  </si>
  <si>
    <t>CMC-241198-441</t>
  </si>
  <si>
    <t>CMC-241198-382</t>
  </si>
  <si>
    <t>CMC-241198-402</t>
  </si>
  <si>
    <t>CMC-241198-422</t>
  </si>
  <si>
    <t>CML-241199-361</t>
  </si>
  <si>
    <t>CML-241199-381</t>
  </si>
  <si>
    <t>CML-241199-401</t>
  </si>
  <si>
    <t>CML-241199-421</t>
  </si>
  <si>
    <t>CML-241199-441</t>
  </si>
  <si>
    <t>CML-241197-361</t>
  </si>
  <si>
    <t>Camisa Manga Larga Diseño</t>
  </si>
  <si>
    <t>CML-241197-381</t>
  </si>
  <si>
    <t>CML-241197-401</t>
  </si>
  <si>
    <t>CML-241197-421</t>
  </si>
  <si>
    <t>CML-241197-441</t>
  </si>
  <si>
    <t>CML-241197-442</t>
  </si>
  <si>
    <t>CML-241200-382</t>
  </si>
  <si>
    <t>CML-241202-401</t>
  </si>
  <si>
    <t>CML-241202-382</t>
  </si>
  <si>
    <t>CML-241202-402</t>
  </si>
  <si>
    <t>CML-241202-442</t>
  </si>
  <si>
    <t>CML-241202-421</t>
  </si>
  <si>
    <t>CML-241202-422</t>
  </si>
  <si>
    <t>CML-241203-381</t>
  </si>
  <si>
    <t>CML-241203-421</t>
  </si>
  <si>
    <t>CML-241203-441</t>
  </si>
  <si>
    <t>CML-241203-402</t>
  </si>
  <si>
    <t>CML-241203-442</t>
  </si>
  <si>
    <t>CML-241206-361</t>
  </si>
  <si>
    <t>CML-241206-381</t>
  </si>
  <si>
    <t>CML-241206-401</t>
  </si>
  <si>
    <t>CML-241206-421</t>
  </si>
  <si>
    <t>CML-241206-441</t>
  </si>
  <si>
    <t>CML-241206-362</t>
  </si>
  <si>
    <t>CML-241206-382</t>
  </si>
  <si>
    <t>CML-241206-422</t>
  </si>
  <si>
    <t>CML-241206-442</t>
  </si>
  <si>
    <t>CML-241205-361</t>
  </si>
  <si>
    <t>CML-241205-421</t>
  </si>
  <si>
    <t>CML-241205-402</t>
  </si>
  <si>
    <t>CMC-241207-381</t>
  </si>
  <si>
    <t>CMC-241207-421</t>
  </si>
  <si>
    <t>CMC-241207-441</t>
  </si>
  <si>
    <t>CMC-241207-362</t>
  </si>
  <si>
    <t>CMC-241207-382</t>
  </si>
  <si>
    <t>CMC-241207-402</t>
  </si>
  <si>
    <t>CMC-241207-422</t>
  </si>
  <si>
    <t>CMC-241207-442</t>
  </si>
  <si>
    <t>CMC-241208-381</t>
  </si>
  <si>
    <t>Camisa Manga Corta Estampada</t>
  </si>
  <si>
    <t>CMC-241208-441</t>
  </si>
  <si>
    <t>CMC-241208-402</t>
  </si>
  <si>
    <t>CML-241233-361</t>
  </si>
  <si>
    <t>241-233-18</t>
  </si>
  <si>
    <t>CML-241233-381</t>
  </si>
  <si>
    <t>CML-241233-401</t>
  </si>
  <si>
    <t>CML-241233-421</t>
  </si>
  <si>
    <t>CML-241233-441</t>
  </si>
  <si>
    <t>241-234-18</t>
  </si>
  <si>
    <t>CMC-241234-402</t>
  </si>
  <si>
    <t>CML-241236-401</t>
  </si>
  <si>
    <t>241-236-18</t>
  </si>
  <si>
    <t>CML-241236-421</t>
  </si>
  <si>
    <t>CML-241236-361</t>
  </si>
  <si>
    <t>CML-241236-381</t>
  </si>
  <si>
    <t>CML-241239-402</t>
  </si>
  <si>
    <t>241-239-18</t>
  </si>
  <si>
    <t>CML-241228-422</t>
  </si>
  <si>
    <t>241-228-18</t>
  </si>
  <si>
    <t>CML-241230-362</t>
  </si>
  <si>
    <t>241-230-18</t>
  </si>
  <si>
    <t>CML-241230-422</t>
  </si>
  <si>
    <t>CML-241231-382</t>
  </si>
  <si>
    <t>241-231-18</t>
  </si>
  <si>
    <t>CML-241231-402</t>
  </si>
  <si>
    <t>CML-241238-382</t>
  </si>
  <si>
    <t>241-238-18</t>
  </si>
  <si>
    <t>CML-241238-402</t>
  </si>
  <si>
    <t>CML-241243-362</t>
  </si>
  <si>
    <t>241-243-18</t>
  </si>
  <si>
    <t>CML-241243-382</t>
  </si>
  <si>
    <t>CML-241243-402</t>
  </si>
  <si>
    <t>CML-241243-442</t>
  </si>
  <si>
    <t>CML-241237-362</t>
  </si>
  <si>
    <t>241-237-18</t>
  </si>
  <si>
    <t>CML-241237-382</t>
  </si>
  <si>
    <t>CML-241237-402</t>
  </si>
  <si>
    <t>CML-241241-362</t>
  </si>
  <si>
    <t>241-241-18</t>
  </si>
  <si>
    <t>CML-241241-382</t>
  </si>
  <si>
    <t>CML-241241-422</t>
  </si>
  <si>
    <t>CML-241240-362</t>
  </si>
  <si>
    <t>241-240-18</t>
  </si>
  <si>
    <t>CML-241240-382</t>
  </si>
  <si>
    <t>CML-241240-402</t>
  </si>
  <si>
    <t>CML-241240-422</t>
  </si>
  <si>
    <t>CML-241246-401</t>
  </si>
  <si>
    <t>CML-241246-421</t>
  </si>
  <si>
    <t>CML-241246-402</t>
  </si>
  <si>
    <t>CML-241246-442</t>
  </si>
  <si>
    <t>CML-241246-362</t>
  </si>
  <si>
    <t>CML-241246-422</t>
  </si>
  <si>
    <t>CML-241245-401</t>
  </si>
  <si>
    <t>CML-241245-421</t>
  </si>
  <si>
    <t>CML-241245-362</t>
  </si>
  <si>
    <t>CML-241245-382</t>
  </si>
  <si>
    <t>CML-241245-442</t>
  </si>
  <si>
    <t>CML-241245-361</t>
  </si>
  <si>
    <t>CML-241245-381</t>
  </si>
  <si>
    <t>CML-241245-402</t>
  </si>
  <si>
    <t>CML-241245-422</t>
  </si>
  <si>
    <t>CML-241204-361</t>
  </si>
  <si>
    <t>CML-241204-381</t>
  </si>
  <si>
    <t>CML-241204-401</t>
  </si>
  <si>
    <t>CML-241204-421</t>
  </si>
  <si>
    <t>CML-241204-441</t>
  </si>
  <si>
    <t>CML-241204-402</t>
  </si>
  <si>
    <t>CML-241244-441</t>
  </si>
  <si>
    <t>241-244-18</t>
  </si>
  <si>
    <t>CML-241244-401</t>
  </si>
  <si>
    <t>CML-241247-401</t>
  </si>
  <si>
    <t>241-247-18</t>
  </si>
  <si>
    <t>CML-241247-421</t>
  </si>
  <si>
    <t>CML-241247-362</t>
  </si>
  <si>
    <t>CML-241247-402</t>
  </si>
  <si>
    <t>CML-241247-442</t>
  </si>
  <si>
    <t>CMC-241019-381</t>
  </si>
  <si>
    <t>241-019-17</t>
  </si>
  <si>
    <t>CMC-241019-401</t>
  </si>
  <si>
    <t>CMC-241006-381</t>
  </si>
  <si>
    <t>241-006-17</t>
  </si>
  <si>
    <t>CMC-241006-401</t>
  </si>
  <si>
    <t>CMC-241031-381</t>
  </si>
  <si>
    <t>241-031-17</t>
  </si>
  <si>
    <t>CMC-241031-401</t>
  </si>
  <si>
    <t>CML-241017-361</t>
  </si>
  <si>
    <t>241-017-17</t>
  </si>
  <si>
    <t>CML-241017-381</t>
  </si>
  <si>
    <t>CML-241017-401</t>
  </si>
  <si>
    <t>CML-241001-361</t>
  </si>
  <si>
    <t>241-001-17</t>
  </si>
  <si>
    <t>CML-241001-381</t>
  </si>
  <si>
    <t>CML-241001-401</t>
  </si>
  <si>
    <t>CMC-241068-361</t>
  </si>
  <si>
    <t>241-O68-17</t>
  </si>
  <si>
    <t>CML-241062-361</t>
  </si>
  <si>
    <t>241-062-17</t>
  </si>
  <si>
    <t>CMC-241023-361</t>
  </si>
  <si>
    <t>241-023-17</t>
  </si>
  <si>
    <t>CMC-241023-381</t>
  </si>
  <si>
    <t>CMC-241028-361</t>
  </si>
  <si>
    <t>241-028-17</t>
  </si>
  <si>
    <t>CMC-241028-401</t>
  </si>
  <si>
    <t>CML-241055-361</t>
  </si>
  <si>
    <t>241-055-17</t>
  </si>
  <si>
    <t>CML-241005-361</t>
  </si>
  <si>
    <t>241-005-17</t>
  </si>
  <si>
    <t>CML-241063-361</t>
  </si>
  <si>
    <t>241-063-17</t>
  </si>
  <si>
    <t>CML-241063-401</t>
  </si>
  <si>
    <t>CMC-241023-401</t>
  </si>
  <si>
    <t>CMC-241022-361</t>
  </si>
  <si>
    <t>241-022-17</t>
  </si>
  <si>
    <t>CMC-241022-401</t>
  </si>
  <si>
    <t>CMC-241022-421</t>
  </si>
  <si>
    <t>CML-241026-361</t>
  </si>
  <si>
    <t>241-026-17</t>
  </si>
  <si>
    <t>CML-241026-381</t>
  </si>
  <si>
    <t>CML-241026-421</t>
  </si>
  <si>
    <t>CML-241046-361</t>
  </si>
  <si>
    <t>241-046-17</t>
  </si>
  <si>
    <t>CML-241046-381</t>
  </si>
  <si>
    <t>CML-241035-361</t>
  </si>
  <si>
    <t>CML-241035-421</t>
  </si>
  <si>
    <t>CML-241021-361</t>
  </si>
  <si>
    <t>241-021-17</t>
  </si>
  <si>
    <t>CML-241043-361</t>
  </si>
  <si>
    <t>241-043-17</t>
  </si>
  <si>
    <t>CMC-241049-361</t>
  </si>
  <si>
    <t>241-049-17</t>
  </si>
  <si>
    <t>CMC-241049-401</t>
  </si>
  <si>
    <t>CML-241170-401</t>
  </si>
  <si>
    <t>241-170-17</t>
  </si>
  <si>
    <t>CMC-241033-381</t>
  </si>
  <si>
    <t xml:space="preserve">Camisa Manga Corta Rayas </t>
  </si>
  <si>
    <t>CMC-241020-401</t>
  </si>
  <si>
    <t>241-020-17</t>
  </si>
  <si>
    <t>Camisa Manga Corta Cuadros</t>
  </si>
  <si>
    <t>CML-241097-381</t>
  </si>
  <si>
    <t>241-097-17</t>
  </si>
  <si>
    <t>CML-241002-381</t>
  </si>
  <si>
    <t>241-002-17</t>
  </si>
  <si>
    <t>CML-241087-361</t>
  </si>
  <si>
    <t>241-087-17</t>
  </si>
  <si>
    <t>CML-241096-421</t>
  </si>
  <si>
    <t>241-096-17</t>
  </si>
  <si>
    <t>CML-241134-421</t>
  </si>
  <si>
    <t>241-134-17</t>
  </si>
  <si>
    <t>CML-241177-381</t>
  </si>
  <si>
    <t>241-177-17</t>
  </si>
  <si>
    <t>CML-241142-382</t>
  </si>
  <si>
    <t>241-142-17</t>
  </si>
  <si>
    <t>CML-241140-362</t>
  </si>
  <si>
    <t>241-140-17</t>
  </si>
  <si>
    <t>CML-241263-361</t>
  </si>
  <si>
    <t>241-263-17</t>
  </si>
  <si>
    <t xml:space="preserve">Camisa Manga Larga Varios </t>
  </si>
  <si>
    <t>CML-241263-381</t>
  </si>
  <si>
    <t>CML-241263-401</t>
  </si>
  <si>
    <t>CML-241263-421</t>
  </si>
  <si>
    <t>CMC-241263-381</t>
  </si>
  <si>
    <t xml:space="preserve">Camisa Manga Corta Varios </t>
  </si>
  <si>
    <t>CML-241263-382</t>
  </si>
  <si>
    <t>CML-241284-381</t>
  </si>
  <si>
    <t>241-284-18</t>
  </si>
  <si>
    <t>CML-241284-401</t>
  </si>
  <si>
    <t>CMC-241284-381</t>
  </si>
  <si>
    <t>CML-241284-382</t>
  </si>
  <si>
    <t>CML-241289-361</t>
  </si>
  <si>
    <t>241-289-19</t>
  </si>
  <si>
    <t>CML-241289-381</t>
  </si>
  <si>
    <t>CML-241289-401</t>
  </si>
  <si>
    <t>CML-241289-421</t>
  </si>
  <si>
    <t>CML-241289-441</t>
  </si>
  <si>
    <t>CODIGOS ERP (M.P, MATERIALES E INSUMOS)</t>
  </si>
  <si>
    <t>GENERO</t>
  </si>
  <si>
    <t>SEGMENTO</t>
  </si>
  <si>
    <t>PRENDA</t>
  </si>
  <si>
    <t xml:space="preserve">           </t>
  </si>
  <si>
    <t>FORMULARIO PRODUCTO</t>
  </si>
  <si>
    <t>CodigoG</t>
  </si>
  <si>
    <t>CodigoS</t>
  </si>
  <si>
    <t>Pantalón</t>
  </si>
  <si>
    <t>Súper Slem Fit</t>
  </si>
  <si>
    <t>FECHA</t>
  </si>
  <si>
    <t>CLIENTE</t>
  </si>
  <si>
    <t>Super Éxito</t>
  </si>
  <si>
    <t>D´bon</t>
  </si>
  <si>
    <t>Super Deporte</t>
  </si>
  <si>
    <t>Etafashion</t>
  </si>
  <si>
    <t>Diseño desarrollado para portafolio productos, como nuevas propuestas</t>
  </si>
  <si>
    <t>OBSERVACIONES</t>
  </si>
  <si>
    <t>Ultimo No. Diseño</t>
  </si>
  <si>
    <t>+</t>
  </si>
  <si>
    <t>241300193621</t>
  </si>
  <si>
    <t>241301193621</t>
  </si>
  <si>
    <t>241302193621</t>
  </si>
  <si>
    <t>241303193621</t>
  </si>
  <si>
    <t>TEJIDO PRINCIPAL</t>
  </si>
  <si>
    <t xml:space="preserve">CONBINACION No. 1 </t>
  </si>
  <si>
    <t>CONBINACION No. 2</t>
  </si>
  <si>
    <t>COD. TEJ PRICIPAL</t>
  </si>
  <si>
    <t>COD.  COMBIN No. 1</t>
  </si>
  <si>
    <t>TEJIDO COMBIN No. 1</t>
  </si>
  <si>
    <t>TEJIDO COMBIN No. 2</t>
  </si>
  <si>
    <t>COD.  COMBIN No. 2</t>
  </si>
  <si>
    <t>VALORES NUMERICOS</t>
  </si>
  <si>
    <t>INFORMACION TEJIDOS</t>
  </si>
  <si>
    <t>NOMBRE</t>
  </si>
  <si>
    <t>2413043621</t>
  </si>
  <si>
    <t>2413053621</t>
  </si>
  <si>
    <t>2413063621</t>
  </si>
  <si>
    <t>2413073621</t>
  </si>
  <si>
    <t>2413083621</t>
  </si>
  <si>
    <t>SALDOS DE TELA AL 31/12/2018 
DEPARTAMENTO DE PRODUCCION - INDUTEXCO CIA. LTDA</t>
  </si>
  <si>
    <t>CODIGO 
PROVEEDOR</t>
  </si>
  <si>
    <t>Tela 100% algodón - Cuadros (pq) azul/celeste/gris/blanco</t>
  </si>
  <si>
    <t>JPA 2578/1</t>
  </si>
  <si>
    <t>Tela 100% algodón - Cuadros (gr) azul/blanco</t>
  </si>
  <si>
    <t>Tela 100% algodón - Estampada negro</t>
  </si>
  <si>
    <t>Tela 100% algodón - Estampada blanco</t>
  </si>
  <si>
    <t>Tela 100% algodón - Cuadros (gr) blanco/azul/celeste</t>
  </si>
  <si>
    <t>2522</t>
  </si>
  <si>
    <t>1825/2</t>
  </si>
  <si>
    <t>1903/1</t>
  </si>
  <si>
    <t>1881/3</t>
  </si>
  <si>
    <t>Tela 100% algodón - Cuadros (md) blanco/negro (1881/3)</t>
  </si>
  <si>
    <t>1881/1</t>
  </si>
  <si>
    <t>1755/1</t>
  </si>
  <si>
    <t>Tela 100% algodón - Cuadros (gr) blanco/gris/rojo (1755/1)</t>
  </si>
  <si>
    <t>1786/2</t>
  </si>
  <si>
    <t>Tela 100% algodón - Cuadros (gr) azul/blanco (1786/2)</t>
  </si>
  <si>
    <t>1802/1</t>
  </si>
  <si>
    <t>1881/2</t>
  </si>
  <si>
    <t>1876/1</t>
  </si>
  <si>
    <t>Tela 100% algodón - Cuadros (gr) azul/blanco/rosado (1876/1)</t>
  </si>
  <si>
    <t>1876/2</t>
  </si>
  <si>
    <t>Tela 100% algodón - Cuadros (gr) azul/blanco/celeste (1876/2)</t>
  </si>
  <si>
    <t>1773/2</t>
  </si>
  <si>
    <t>Tela 100% algodón - Rayas blanco/palo de rosa (1773/2)</t>
  </si>
  <si>
    <t>1822/2</t>
  </si>
  <si>
    <t>1895/1</t>
  </si>
  <si>
    <t>1926/2</t>
  </si>
  <si>
    <t>1891/2</t>
  </si>
  <si>
    <t>1928/1</t>
  </si>
  <si>
    <t>1898/2</t>
  </si>
  <si>
    <t>1846/2</t>
  </si>
  <si>
    <t>A65/2</t>
  </si>
  <si>
    <t>Tela 100% algodón - Cuadros (md) rojo/gris/azul/blanco (A65/2)</t>
  </si>
  <si>
    <t>1773/1</t>
  </si>
  <si>
    <t>Tela 100% algodón - Rayas blanco/celeste (1773/1)</t>
  </si>
  <si>
    <t>1836/2</t>
  </si>
  <si>
    <t>Tela 100% algodón - Llano jaspeado celeste (1836/2)</t>
  </si>
  <si>
    <t>1857/2</t>
  </si>
  <si>
    <t>Tela 100% algodón - palo de rosa/blanco (1857/2)</t>
  </si>
  <si>
    <t>1890/2</t>
  </si>
  <si>
    <t>Tela 100% algodón - Llana jaspeado gris (1890/2)</t>
  </si>
  <si>
    <t>1911/2</t>
  </si>
  <si>
    <t>1911/3</t>
  </si>
  <si>
    <t>1883/2</t>
  </si>
  <si>
    <t>Tela 100% algodón - Cuadros (md) celeste/negro/blanco (1883/2)</t>
  </si>
  <si>
    <t>1883/1</t>
  </si>
  <si>
    <t>Tela 100% algodón - Cuadros (md) rojo/gris/blanco/azul (1883/1)</t>
  </si>
  <si>
    <t>JPA 2115/1</t>
  </si>
  <si>
    <t>Tela 100% algodón - Llana dibujo azul (JPA 2115/1)</t>
  </si>
  <si>
    <t>JPA 2125/1</t>
  </si>
  <si>
    <t>Tela 100% algodón - Cuadros (md) blanco/azul (JPA 2125/1)</t>
  </si>
  <si>
    <t>1913/1</t>
  </si>
  <si>
    <t>Tela 100% algodón - Cuadros (gr) azul/blanco/negro (1913/1)</t>
  </si>
  <si>
    <t>1921/2</t>
  </si>
  <si>
    <t>Tela 100% algodón - Cuadros (pq) vino/rosado (1921/2)</t>
  </si>
  <si>
    <t>1913/2</t>
  </si>
  <si>
    <t>1922/1</t>
  </si>
  <si>
    <t>Tela 100% algodón - Cuadros (md) azul/celeste/blanco/verde (1922/1)</t>
  </si>
  <si>
    <t>1800/1</t>
  </si>
  <si>
    <t>Tela 100% algodón - Cuadros (gr) azul/blanco/gris/rojo (1800/1)</t>
  </si>
  <si>
    <t>1922/2</t>
  </si>
  <si>
    <t>Tela 100% algodón - Cuadros (md) rojo/celeste/blanco/gris (1922/2)</t>
  </si>
  <si>
    <t>1954/2</t>
  </si>
  <si>
    <t>1923/1</t>
  </si>
  <si>
    <t>1919/2</t>
  </si>
  <si>
    <t>Tela 100% algodón - Cuadros (md) blanco/azul/vino (1919/2)</t>
  </si>
  <si>
    <t>1919/1</t>
  </si>
  <si>
    <t>Tela 100% algodón - Cuadros (md) blanco/azul/verde (1919/1)</t>
  </si>
  <si>
    <t>1801/1</t>
  </si>
  <si>
    <t>JPA 2125/2</t>
  </si>
  <si>
    <t>Tela 100% algodón - Cuadros (md) blanco/vino (JPA 2125/2)</t>
  </si>
  <si>
    <t>JPA 2120/1</t>
  </si>
  <si>
    <t>1937/2</t>
  </si>
  <si>
    <t>2831/2</t>
  </si>
  <si>
    <t>Tela 100% algodón - Estampado blanco (2831/2)</t>
  </si>
  <si>
    <t>35958</t>
  </si>
  <si>
    <t>Tela 100% algodón - Estampado celeste (35958)</t>
  </si>
  <si>
    <t>1923/2</t>
  </si>
  <si>
    <t>1222.08 (SP-008/1)</t>
  </si>
  <si>
    <t>91478</t>
  </si>
  <si>
    <t>JPA 1985/2</t>
  </si>
  <si>
    <t>JPA 1977/2</t>
  </si>
  <si>
    <t xml:space="preserve">20501/12 </t>
  </si>
  <si>
    <t>99210/01</t>
  </si>
  <si>
    <t>1222.03 (SP-003/01)</t>
  </si>
  <si>
    <t>OXFORT/3</t>
  </si>
  <si>
    <t>JPA 1990/1</t>
  </si>
  <si>
    <t>Tela 100% algodón - Cuadros (gr) azul/blanco/rojo (JPA 1990/1)</t>
  </si>
  <si>
    <t>JPA 1962/1</t>
  </si>
  <si>
    <t>JPA 1984/1</t>
  </si>
  <si>
    <t>JPA 1981/1</t>
  </si>
  <si>
    <t>JPA 1846/3</t>
  </si>
  <si>
    <t>0760 OXFORT</t>
  </si>
  <si>
    <t>2670/04</t>
  </si>
  <si>
    <t>6600</t>
  </si>
  <si>
    <t>JPA 2118/2</t>
  </si>
  <si>
    <t>JPA 2051/1</t>
  </si>
  <si>
    <t>JPA 2051/2</t>
  </si>
  <si>
    <t>JPA 2029/1</t>
  </si>
  <si>
    <t>JPA 2010/1</t>
  </si>
  <si>
    <t>JPA 2138/1</t>
  </si>
  <si>
    <t>JPA 2137/1</t>
  </si>
  <si>
    <t>JPA 2137/2</t>
  </si>
  <si>
    <t>JPA 2140/1</t>
  </si>
  <si>
    <t>JPA 2140/2</t>
  </si>
  <si>
    <t>JPA 2144/1</t>
  </si>
  <si>
    <t>JPA 2144/2</t>
  </si>
  <si>
    <t>JPA 2096/1</t>
  </si>
  <si>
    <t>JPA 2083/1</t>
  </si>
  <si>
    <t>JPA 2077/1</t>
  </si>
  <si>
    <t>JPA 2083/2</t>
  </si>
  <si>
    <t>JPA 2077/2</t>
  </si>
  <si>
    <t>JPA 2083/3</t>
  </si>
  <si>
    <t>JPA 2081/1</t>
  </si>
  <si>
    <t>JPA 2092/2</t>
  </si>
  <si>
    <t>TM01/1 - WHITE (000)</t>
  </si>
  <si>
    <t>JPA 2102/1</t>
  </si>
  <si>
    <t>JPA 2102/2</t>
  </si>
  <si>
    <t>JPA 2102/3</t>
  </si>
  <si>
    <t>JPA 2102/4</t>
  </si>
  <si>
    <t>JPA 2112/1</t>
  </si>
  <si>
    <t>JPA 2117/1</t>
  </si>
  <si>
    <t>JPA 2117/2</t>
  </si>
  <si>
    <t>1197</t>
  </si>
  <si>
    <t>Tela 100% algodón - Llana azul marino con estampado blanco ( flores )</t>
  </si>
  <si>
    <t>TOTAL:</t>
  </si>
  <si>
    <t>2413093621</t>
  </si>
  <si>
    <t>2413103621</t>
  </si>
  <si>
    <t>241311193621</t>
  </si>
  <si>
    <t>241312193621</t>
  </si>
  <si>
    <t>241313193621</t>
  </si>
  <si>
    <t>2719-0-32DAR KBL</t>
  </si>
  <si>
    <t>CAMISERIA WS</t>
  </si>
  <si>
    <t>PASARELA 18/5</t>
  </si>
  <si>
    <t>E.FLORENCIA PRINT CLASSIC</t>
  </si>
  <si>
    <t>CAMISERA WS</t>
  </si>
  <si>
    <t>CAMISERIA</t>
  </si>
  <si>
    <t>2719-0-32PINK</t>
  </si>
  <si>
    <t>2719-0-34COR AL</t>
  </si>
  <si>
    <t>2719-0-34SKY BLU</t>
  </si>
  <si>
    <t>2719-0-32MIDB LU</t>
  </si>
  <si>
    <t>2730-0-2138-2</t>
  </si>
  <si>
    <t>2730-0-2138-3</t>
  </si>
  <si>
    <t>2730-0-2153-1</t>
  </si>
  <si>
    <t>2730-0-2161-1</t>
  </si>
  <si>
    <t>2730-0-2181-1</t>
  </si>
  <si>
    <t>2290-0-194027</t>
  </si>
  <si>
    <t>2719-0-27TER RAC</t>
  </si>
  <si>
    <t>2719-0-27PET ROL</t>
  </si>
  <si>
    <t>2719-0-09PET ROL</t>
  </si>
  <si>
    <t>2719-0-09WINE- Y</t>
  </si>
  <si>
    <t>2290-0-121212</t>
  </si>
  <si>
    <t>2290-0-144121</t>
  </si>
  <si>
    <t>2290-0-126500</t>
  </si>
  <si>
    <t>2548-0-1271/216</t>
  </si>
  <si>
    <t>2548-0-1282/C B0</t>
  </si>
  <si>
    <t>2719-0-08BLUE- Y</t>
  </si>
  <si>
    <t>2719-0-08WINE- Y</t>
  </si>
  <si>
    <t>2719-0-30RED</t>
  </si>
  <si>
    <t>2719-0-30MIDB LU</t>
  </si>
  <si>
    <t>2719-0-26COR AL</t>
  </si>
  <si>
    <t>2719-0-26DAR KBL</t>
  </si>
  <si>
    <t>2719-0-33PINK</t>
  </si>
  <si>
    <t>2719-0-33SKY BLU</t>
  </si>
  <si>
    <t>2719-0-32 DARK BLUE</t>
  </si>
  <si>
    <t>PRECIO mt</t>
  </si>
  <si>
    <t>TOTAL US</t>
  </si>
  <si>
    <t>INGRESOS mt</t>
  </si>
  <si>
    <t>EGRESOS mt</t>
  </si>
  <si>
    <t>TOTAL mt</t>
  </si>
  <si>
    <t>241314193621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</si>
  <si>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</si>
  <si>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</si>
  <si>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</si>
  <si>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</si>
  <si>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</si>
  <si>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</si>
  <si>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</si>
  <si>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</si>
  <si>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</si>
  <si>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</si>
  <si>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</si>
  <si>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</si>
  <si>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</si>
  <si>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</si>
  <si>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</si>
  <si>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</si>
  <si>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</si>
  <si>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</si>
  <si>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</si>
  <si>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</si>
  <si>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</si>
  <si>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</si>
  <si>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</si>
  <si>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</si>
  <si>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</si>
  <si>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</si>
  <si>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</si>
  <si>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</si>
  <si>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</si>
  <si>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CMC-241211-382</t>
    </r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</si>
  <si>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CMC-241211-402</t>
    </r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</si>
  <si>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CML-241214-402</t>
    </r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</si>
  <si>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CML-241215-442</t>
    </r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</si>
  <si>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CML-241213-382</t>
    </r>
  </si>
  <si>
    <r>
      <rPr>
        <sz val="10"/>
        <color indexed="10"/>
        <rFont val="Arial"/>
        <family val="2"/>
      </rPr>
      <t>*</t>
    </r>
    <r>
      <rPr>
        <sz val="10"/>
        <color indexed="8"/>
        <rFont val="Arial"/>
        <family val="2"/>
      </rPr>
      <t>CML-241202-382</t>
    </r>
  </si>
  <si>
    <r>
      <rPr>
        <b/>
        <sz val="10"/>
        <color indexed="10"/>
        <rFont val="Arial"/>
        <family val="2"/>
      </rPr>
      <t>*</t>
    </r>
    <r>
      <rPr>
        <b/>
        <sz val="10"/>
        <color indexed="8"/>
        <rFont val="Arial"/>
        <family val="2"/>
      </rPr>
      <t>CMC-241234-362</t>
    </r>
  </si>
  <si>
    <t>241315193621</t>
  </si>
  <si>
    <t>241316193621</t>
  </si>
  <si>
    <t>TIPO DE MANGA</t>
  </si>
  <si>
    <t>Manga Corta</t>
  </si>
  <si>
    <t>Manga 3/4</t>
  </si>
  <si>
    <t>Manga Sisa</t>
  </si>
  <si>
    <t>Manga Larga</t>
  </si>
  <si>
    <t>Tipo de Manga</t>
  </si>
  <si>
    <t>241317193621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</si>
</sst>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###,###,##0.00"/>
    <numFmt numFmtId="168" formatCode="yy"/>
    <numFmt numFmtId="169" formatCode="yyyy"/>
    <numFmt numFmtId="170" formatCode="dd/mm/yyyy;@"/>
    <numFmt numFmtId="171" formatCode="dd/mmmm/yyyy"/>
    <numFmt numFmtId="172" formatCode="dd/mmmm"/>
    <numFmt numFmtId="173" formatCode="_-* #,##0.00_-;\-* #,##0.00_-;_-* &quot;-&quot;??_-;_-@_-"/>
  </numFmts>
  <fonts count="52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1"/>
      <name val="Calibri"/>
      <family val="2"/>
    </font>
    <font>
      <b/>
      <sz val="8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6"/>
      <name val="Arial"/>
      <family val="2"/>
    </font>
    <font>
      <sz val="10"/>
      <color indexed="10"/>
      <name val="Calibri"/>
      <family val="2"/>
    </font>
    <font>
      <b/>
      <sz val="11"/>
      <name val="Arial"/>
      <family val="2"/>
    </font>
    <font>
      <b/>
      <sz val="18"/>
      <name val="Arial"/>
      <family val="2"/>
    </font>
    <font>
      <b/>
      <u/>
      <sz val="10"/>
      <name val="Arial"/>
      <family val="2"/>
    </font>
    <font>
      <b/>
      <sz val="20"/>
      <name val="Arial"/>
      <family val="2"/>
    </font>
    <font>
      <b/>
      <sz val="12"/>
      <color indexed="8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Arial"/>
      <family val="2"/>
    </font>
    <font>
      <sz val="10"/>
      <color rgb="FF0070C0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sz val="10"/>
      <color theme="0"/>
      <name val="Arial"/>
      <family val="2"/>
    </font>
    <font>
      <sz val="10"/>
      <color theme="4" tint="-0.499984740745262"/>
      <name val="Arial"/>
      <family val="2"/>
    </font>
    <font>
      <sz val="10"/>
      <color theme="3" tint="-0.249977111117893"/>
      <name val="Arial"/>
      <family val="2"/>
    </font>
    <font>
      <b/>
      <sz val="11"/>
      <color theme="3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Calibri"/>
      <family val="2"/>
      <scheme val="minor"/>
    </font>
    <font>
      <b/>
      <sz val="10"/>
      <color theme="2"/>
      <name val="Arial"/>
      <family val="2"/>
    </font>
    <font>
      <sz val="11"/>
      <color theme="0"/>
      <name val="Arial"/>
      <family val="2"/>
    </font>
    <font>
      <sz val="12"/>
      <name val="Calibri"/>
      <family val="2"/>
      <scheme val="minor"/>
    </font>
    <font>
      <b/>
      <sz val="12"/>
      <color theme="3" tint="-0.499984740745262"/>
      <name val="Arial"/>
      <family val="2"/>
    </font>
    <font>
      <b/>
      <sz val="18"/>
      <color theme="3" tint="-0.499984740745262"/>
      <name val="Arial"/>
      <family val="2"/>
    </font>
    <font>
      <sz val="12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theme="3" tint="-0.499984740745262"/>
      <name val="Arial"/>
      <family val="2"/>
    </font>
    <font>
      <b/>
      <sz val="20"/>
      <color theme="3" tint="-0.499984740745262"/>
      <name val="Arial"/>
      <family val="2"/>
    </font>
    <font>
      <sz val="18"/>
      <name val="Arial"/>
      <family val="2"/>
    </font>
    <font>
      <sz val="9"/>
      <color indexed="81"/>
      <name val="Tahoma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ck">
        <color theme="3" tint="-0.499984740745262"/>
      </top>
      <bottom/>
      <diagonal/>
    </border>
    <border diagonalUp="1">
      <left/>
      <right/>
      <top/>
      <bottom/>
      <diagonal style="thin">
        <color theme="0"/>
      </diagonal>
    </border>
    <border>
      <left/>
      <right/>
      <top/>
      <bottom style="thick">
        <color theme="3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96">
    <xf numFmtId="0" fontId="0" fillId="0" borderId="0" xfId="0"/>
    <xf numFmtId="0" fontId="0" fillId="0" borderId="0" xfId="0" applyBorder="1"/>
    <xf numFmtId="0" fontId="20" fillId="0" borderId="1" xfId="0" applyFont="1" applyFill="1" applyBorder="1" applyAlignment="1">
      <alignment horizontal="center"/>
    </xf>
    <xf numFmtId="0" fontId="20" fillId="0" borderId="0" xfId="0" applyFont="1" applyFill="1"/>
    <xf numFmtId="0" fontId="20" fillId="0" borderId="1" xfId="0" applyFont="1" applyFill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left"/>
    </xf>
    <xf numFmtId="49" fontId="20" fillId="2" borderId="1" xfId="0" applyNumberFormat="1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1" fillId="0" borderId="3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center"/>
    </xf>
    <xf numFmtId="0" fontId="20" fillId="0" borderId="5" xfId="0" applyFont="1" applyFill="1" applyBorder="1" applyAlignment="1">
      <alignment horizontal="left"/>
    </xf>
    <xf numFmtId="0" fontId="20" fillId="0" borderId="5" xfId="0" applyFont="1" applyFill="1" applyBorder="1" applyAlignment="1">
      <alignment horizontal="center"/>
    </xf>
    <xf numFmtId="0" fontId="22" fillId="0" borderId="0" xfId="0" applyFont="1" applyFill="1"/>
    <xf numFmtId="49" fontId="20" fillId="0" borderId="0" xfId="0" applyNumberFormat="1" applyFont="1" applyFill="1" applyAlignment="1">
      <alignment horizontal="left"/>
    </xf>
    <xf numFmtId="0" fontId="20" fillId="2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7" fillId="0" borderId="0" xfId="0" applyFont="1" applyAlignment="1">
      <alignment vertical="center"/>
    </xf>
    <xf numFmtId="0" fontId="2" fillId="0" borderId="0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2" fillId="0" borderId="8" xfId="0" applyFont="1" applyBorder="1" applyAlignment="1">
      <alignment horizontal="center"/>
    </xf>
    <xf numFmtId="0" fontId="10" fillId="0" borderId="2" xfId="0" applyFont="1" applyBorder="1" applyAlignment="1">
      <alignment vertical="center"/>
    </xf>
    <xf numFmtId="0" fontId="10" fillId="0" borderId="2" xfId="0" applyFont="1" applyBorder="1"/>
    <xf numFmtId="0" fontId="21" fillId="2" borderId="3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4" fillId="0" borderId="3" xfId="0" applyFont="1" applyFill="1" applyBorder="1" applyAlignment="1">
      <alignment horizontal="center" vertical="center" wrapText="1"/>
    </xf>
    <xf numFmtId="49" fontId="20" fillId="2" borderId="4" xfId="0" applyNumberFormat="1" applyFont="1" applyFill="1" applyBorder="1" applyAlignment="1">
      <alignment horizontal="center"/>
    </xf>
    <xf numFmtId="164" fontId="25" fillId="0" borderId="5" xfId="1" applyNumberFormat="1" applyFont="1" applyFill="1" applyBorder="1"/>
    <xf numFmtId="164" fontId="26" fillId="0" borderId="5" xfId="1" applyNumberFormat="1" applyFont="1" applyFill="1" applyBorder="1"/>
    <xf numFmtId="49" fontId="20" fillId="2" borderId="5" xfId="0" applyNumberFormat="1" applyFont="1" applyFill="1" applyBorder="1" applyAlignment="1">
      <alignment horizontal="center"/>
    </xf>
    <xf numFmtId="164" fontId="20" fillId="2" borderId="5" xfId="1" applyNumberFormat="1" applyFont="1" applyFill="1" applyBorder="1"/>
    <xf numFmtId="164" fontId="26" fillId="2" borderId="5" xfId="1" applyNumberFormat="1" applyFont="1" applyFill="1" applyBorder="1"/>
    <xf numFmtId="164" fontId="3" fillId="2" borderId="3" xfId="1" applyFont="1" applyFill="1" applyBorder="1" applyAlignment="1">
      <alignment horizontal="center" vertical="center" wrapText="1"/>
    </xf>
    <xf numFmtId="164" fontId="25" fillId="0" borderId="4" xfId="1" applyNumberFormat="1" applyFont="1" applyFill="1" applyBorder="1"/>
    <xf numFmtId="164" fontId="26" fillId="0" borderId="4" xfId="1" applyNumberFormat="1" applyFont="1" applyFill="1" applyBorder="1"/>
    <xf numFmtId="164" fontId="25" fillId="0" borderId="1" xfId="1" applyNumberFormat="1" applyFont="1" applyFill="1" applyBorder="1"/>
    <xf numFmtId="164" fontId="25" fillId="2" borderId="1" xfId="1" applyNumberFormat="1" applyFont="1" applyFill="1" applyBorder="1"/>
    <xf numFmtId="166" fontId="20" fillId="2" borderId="5" xfId="1" applyNumberFormat="1" applyFont="1" applyFill="1" applyBorder="1"/>
    <xf numFmtId="165" fontId="25" fillId="0" borderId="1" xfId="1" applyNumberFormat="1" applyFont="1" applyFill="1" applyBorder="1"/>
    <xf numFmtId="165" fontId="26" fillId="0" borderId="5" xfId="1" applyNumberFormat="1" applyFont="1" applyFill="1" applyBorder="1"/>
    <xf numFmtId="165" fontId="20" fillId="0" borderId="5" xfId="1" applyNumberFormat="1" applyFont="1" applyFill="1" applyBorder="1"/>
    <xf numFmtId="4" fontId="0" fillId="0" borderId="0" xfId="0" applyNumberFormat="1"/>
    <xf numFmtId="2" fontId="20" fillId="2" borderId="9" xfId="0" applyNumberFormat="1" applyFont="1" applyFill="1" applyBorder="1" applyAlignment="1">
      <alignment horizontal="left"/>
    </xf>
    <xf numFmtId="2" fontId="20" fillId="2" borderId="9" xfId="0" applyNumberFormat="1" applyFont="1" applyFill="1" applyBorder="1" applyAlignment="1">
      <alignment horizontal="center"/>
    </xf>
    <xf numFmtId="2" fontId="20" fillId="0" borderId="0" xfId="0" applyNumberFormat="1" applyFont="1" applyFill="1" applyBorder="1"/>
    <xf numFmtId="2" fontId="20" fillId="2" borderId="10" xfId="1" applyNumberFormat="1" applyFont="1" applyFill="1" applyBorder="1"/>
    <xf numFmtId="0" fontId="14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27" fillId="0" borderId="0" xfId="0" applyFont="1" applyFill="1" applyBorder="1" applyAlignment="1"/>
    <xf numFmtId="0" fontId="0" fillId="0" borderId="0" xfId="0" applyFill="1" applyBorder="1"/>
    <xf numFmtId="49" fontId="27" fillId="0" borderId="0" xfId="0" applyNumberFormat="1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/>
    <xf numFmtId="0" fontId="28" fillId="3" borderId="0" xfId="0" applyFont="1" applyFill="1" applyAlignment="1">
      <alignment horizontal="center"/>
    </xf>
    <xf numFmtId="0" fontId="4" fillId="0" borderId="0" xfId="0" applyFont="1"/>
    <xf numFmtId="0" fontId="28" fillId="3" borderId="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4" fillId="0" borderId="11" xfId="0" applyFont="1" applyBorder="1"/>
    <xf numFmtId="0" fontId="0" fillId="0" borderId="12" xfId="0" applyBorder="1"/>
    <xf numFmtId="0" fontId="4" fillId="0" borderId="12" xfId="0" applyFont="1" applyBorder="1"/>
    <xf numFmtId="0" fontId="0" fillId="0" borderId="13" xfId="0" applyBorder="1"/>
    <xf numFmtId="0" fontId="4" fillId="0" borderId="13" xfId="0" applyFont="1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0" xfId="0" applyFont="1"/>
    <xf numFmtId="0" fontId="4" fillId="0" borderId="0" xfId="0" applyFont="1" applyFill="1" applyBorder="1"/>
    <xf numFmtId="0" fontId="29" fillId="0" borderId="0" xfId="0" applyFont="1" applyFill="1" applyBorder="1" applyAlignment="1"/>
    <xf numFmtId="0" fontId="29" fillId="0" borderId="0" xfId="0" applyFont="1" applyFill="1" applyBorder="1"/>
    <xf numFmtId="0" fontId="30" fillId="0" borderId="0" xfId="0" applyFont="1"/>
    <xf numFmtId="0" fontId="30" fillId="0" borderId="0" xfId="0" applyFont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4" fillId="0" borderId="11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2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2" fillId="0" borderId="0" xfId="0" applyFont="1" applyFill="1" applyBorder="1"/>
    <xf numFmtId="0" fontId="30" fillId="0" borderId="0" xfId="0" applyFont="1" applyFill="1" applyBorder="1"/>
    <xf numFmtId="0" fontId="30" fillId="0" borderId="0" xfId="0" applyFont="1" applyFill="1" applyBorder="1" applyAlignment="1">
      <alignment horizontal="center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4" fillId="0" borderId="14" xfId="0" applyFont="1" applyFill="1" applyBorder="1"/>
    <xf numFmtId="0" fontId="0" fillId="0" borderId="15" xfId="0" applyBorder="1"/>
    <xf numFmtId="4" fontId="32" fillId="2" borderId="10" xfId="1" applyNumberFormat="1" applyFont="1" applyFill="1" applyBorder="1" applyAlignment="1">
      <alignment vertical="center"/>
    </xf>
    <xf numFmtId="0" fontId="19" fillId="4" borderId="3" xfId="0" applyFont="1" applyFill="1" applyBorder="1" applyAlignment="1">
      <alignment horizontal="center"/>
    </xf>
    <xf numFmtId="3" fontId="33" fillId="0" borderId="0" xfId="0" applyNumberFormat="1" applyFont="1"/>
    <xf numFmtId="0" fontId="0" fillId="0" borderId="0" xfId="0" applyFill="1"/>
    <xf numFmtId="49" fontId="0" fillId="0" borderId="0" xfId="0" applyNumberFormat="1" applyFill="1"/>
    <xf numFmtId="167" fontId="0" fillId="0" borderId="0" xfId="0" applyNumberFormat="1" applyFill="1"/>
    <xf numFmtId="0" fontId="0" fillId="0" borderId="0" xfId="0" applyFill="1" applyAlignment="1">
      <alignment horizontal="center"/>
    </xf>
    <xf numFmtId="49" fontId="22" fillId="0" borderId="0" xfId="0" applyNumberFormat="1" applyFont="1" applyFill="1" applyAlignment="1">
      <alignment horizontal="left"/>
    </xf>
    <xf numFmtId="0" fontId="34" fillId="3" borderId="16" xfId="0" applyFont="1" applyFill="1" applyBorder="1" applyAlignment="1">
      <alignment horizontal="center" vertical="center" wrapText="1"/>
    </xf>
    <xf numFmtId="0" fontId="2" fillId="0" borderId="18" xfId="0" applyFont="1" applyBorder="1"/>
    <xf numFmtId="0" fontId="0" fillId="0" borderId="18" xfId="0" applyBorder="1"/>
    <xf numFmtId="0" fontId="2" fillId="0" borderId="12" xfId="0" applyFont="1" applyFill="1" applyBorder="1" applyAlignment="1">
      <alignment horizontal="center"/>
    </xf>
    <xf numFmtId="0" fontId="35" fillId="0" borderId="19" xfId="0" applyFont="1" applyFill="1" applyBorder="1" applyAlignment="1">
      <alignment vertical="center"/>
    </xf>
    <xf numFmtId="1" fontId="0" fillId="0" borderId="19" xfId="0" applyNumberFormat="1" applyFont="1" applyFill="1" applyBorder="1" applyAlignment="1">
      <alignment horizontal="center" vertical="center"/>
    </xf>
    <xf numFmtId="16" fontId="35" fillId="0" borderId="19" xfId="0" applyNumberFormat="1" applyFont="1" applyFill="1" applyBorder="1" applyAlignment="1">
      <alignment vertical="center" wrapText="1"/>
    </xf>
    <xf numFmtId="0" fontId="35" fillId="0" borderId="19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left"/>
    </xf>
    <xf numFmtId="0" fontId="36" fillId="5" borderId="2" xfId="0" applyFont="1" applyFill="1" applyBorder="1" applyAlignment="1">
      <alignment horizontal="center" vertical="center"/>
    </xf>
    <xf numFmtId="0" fontId="18" fillId="0" borderId="0" xfId="0" applyFont="1" applyFill="1" applyBorder="1"/>
    <xf numFmtId="0" fontId="18" fillId="0" borderId="0" xfId="0" applyFont="1"/>
    <xf numFmtId="168" fontId="18" fillId="0" borderId="0" xfId="0" applyNumberFormat="1" applyFont="1"/>
    <xf numFmtId="0" fontId="18" fillId="0" borderId="0" xfId="0" applyFont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1" fontId="18" fillId="0" borderId="0" xfId="0" applyNumberFormat="1" applyFont="1"/>
    <xf numFmtId="0" fontId="36" fillId="6" borderId="0" xfId="0" applyFont="1" applyFill="1" applyBorder="1" applyAlignment="1">
      <alignment horizontal="center" vertical="center"/>
    </xf>
    <xf numFmtId="0" fontId="38" fillId="6" borderId="0" xfId="0" applyFont="1" applyFill="1" applyBorder="1"/>
    <xf numFmtId="0" fontId="0" fillId="6" borderId="0" xfId="0" applyFill="1" applyBorder="1"/>
    <xf numFmtId="0" fontId="0" fillId="7" borderId="0" xfId="0" applyFill="1" applyBorder="1"/>
    <xf numFmtId="0" fontId="14" fillId="7" borderId="0" xfId="0" applyFont="1" applyFill="1" applyBorder="1" applyAlignment="1"/>
    <xf numFmtId="0" fontId="14" fillId="7" borderId="0" xfId="0" applyFont="1" applyFill="1" applyBorder="1" applyAlignment="1">
      <alignment horizontal="center"/>
    </xf>
    <xf numFmtId="0" fontId="36" fillId="9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9" fillId="7" borderId="0" xfId="0" applyFont="1" applyFill="1" applyBorder="1" applyAlignment="1">
      <alignment horizontal="left" vertical="center"/>
    </xf>
    <xf numFmtId="0" fontId="39" fillId="7" borderId="0" xfId="0" applyFont="1" applyFill="1" applyBorder="1" applyAlignment="1">
      <alignment horizontal="left" vertical="center"/>
    </xf>
    <xf numFmtId="1" fontId="0" fillId="0" borderId="0" xfId="0" applyNumberFormat="1" applyBorder="1"/>
    <xf numFmtId="0" fontId="14" fillId="7" borderId="20" xfId="0" applyFont="1" applyFill="1" applyBorder="1" applyAlignment="1"/>
    <xf numFmtId="0" fontId="14" fillId="7" borderId="20" xfId="0" applyFont="1" applyFill="1" applyBorder="1" applyAlignment="1">
      <alignment horizontal="center"/>
    </xf>
    <xf numFmtId="0" fontId="38" fillId="0" borderId="0" xfId="0" applyFont="1" applyFill="1" applyBorder="1"/>
    <xf numFmtId="0" fontId="36" fillId="9" borderId="0" xfId="0" applyFont="1" applyFill="1" applyBorder="1" applyAlignment="1">
      <alignment horizontal="left" vertical="center"/>
    </xf>
    <xf numFmtId="0" fontId="0" fillId="6" borderId="0" xfId="0" applyFill="1" applyBorder="1" applyAlignment="1">
      <alignment horizontal="left"/>
    </xf>
    <xf numFmtId="169" fontId="0" fillId="0" borderId="0" xfId="0" applyNumberFormat="1" applyBorder="1"/>
    <xf numFmtId="0" fontId="0" fillId="0" borderId="0" xfId="0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0" fillId="7" borderId="0" xfId="0" applyFont="1" applyFill="1" applyBorder="1" applyAlignment="1">
      <alignment horizontal="center"/>
    </xf>
    <xf numFmtId="0" fontId="40" fillId="7" borderId="2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36" fillId="9" borderId="2" xfId="0" applyFont="1" applyFill="1" applyBorder="1" applyAlignment="1">
      <alignment horizontal="left" vertical="center"/>
    </xf>
    <xf numFmtId="49" fontId="2" fillId="10" borderId="0" xfId="0" applyNumberFormat="1" applyFont="1" applyFill="1" applyBorder="1" applyAlignment="1">
      <alignment vertical="center" readingOrder="1"/>
    </xf>
    <xf numFmtId="0" fontId="42" fillId="10" borderId="0" xfId="0" applyNumberFormat="1" applyFont="1" applyFill="1" applyBorder="1" applyAlignment="1">
      <alignment horizontal="left" vertical="center" readingOrder="1"/>
    </xf>
    <xf numFmtId="1" fontId="4" fillId="0" borderId="0" xfId="0" applyNumberFormat="1" applyFont="1" applyFill="1" applyBorder="1" applyAlignment="1">
      <alignment horizontal="center" vertical="center"/>
    </xf>
    <xf numFmtId="1" fontId="41" fillId="6" borderId="0" xfId="0" applyNumberFormat="1" applyFont="1" applyFill="1" applyBorder="1" applyAlignment="1">
      <alignment horizontal="left"/>
    </xf>
    <xf numFmtId="0" fontId="40" fillId="7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1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wrapText="1"/>
    </xf>
    <xf numFmtId="170" fontId="4" fillId="0" borderId="0" xfId="0" applyNumberFormat="1" applyFont="1" applyAlignment="1">
      <alignment horizontal="center"/>
    </xf>
    <xf numFmtId="0" fontId="36" fillId="9" borderId="0" xfId="0" applyFont="1" applyFill="1" applyBorder="1" applyAlignment="1">
      <alignment horizontal="center" vertical="center"/>
    </xf>
    <xf numFmtId="0" fontId="4" fillId="10" borderId="0" xfId="0" applyNumberFormat="1" applyFont="1" applyFill="1" applyBorder="1" applyAlignment="1">
      <alignment vertical="center" readingOrder="1"/>
    </xf>
    <xf numFmtId="0" fontId="4" fillId="0" borderId="0" xfId="0" applyFont="1" applyFill="1" applyBorder="1" applyAlignment="1">
      <alignment vertical="center" readingOrder="1"/>
    </xf>
    <xf numFmtId="0" fontId="4" fillId="0" borderId="0" xfId="0" applyFont="1" applyFill="1" applyAlignment="1">
      <alignment vertical="center" readingOrder="1"/>
    </xf>
    <xf numFmtId="0" fontId="4" fillId="0" borderId="0" xfId="0" applyFont="1" applyAlignment="1">
      <alignment readingOrder="1"/>
    </xf>
    <xf numFmtId="0" fontId="4" fillId="0" borderId="0" xfId="0" applyFont="1" applyAlignment="1">
      <alignment wrapText="1" readingOrder="1"/>
    </xf>
    <xf numFmtId="0" fontId="4" fillId="0" borderId="0" xfId="0" applyFont="1" applyBorder="1"/>
    <xf numFmtId="172" fontId="4" fillId="0" borderId="0" xfId="0" applyNumberFormat="1" applyFont="1" applyFill="1" applyBorder="1" applyAlignment="1">
      <alignment horizontal="center" vertical="center"/>
    </xf>
    <xf numFmtId="0" fontId="38" fillId="8" borderId="0" xfId="0" applyFont="1" applyFill="1" applyBorder="1" applyAlignment="1">
      <alignment horizontal="left" vertical="center"/>
    </xf>
    <xf numFmtId="0" fontId="4" fillId="0" borderId="21" xfId="0" applyFont="1" applyBorder="1" applyAlignment="1">
      <alignment horizontal="center" vertical="center"/>
    </xf>
    <xf numFmtId="0" fontId="38" fillId="8" borderId="0" xfId="0" applyFont="1" applyFill="1" applyBorder="1" applyAlignment="1">
      <alignment vertical="center"/>
    </xf>
    <xf numFmtId="171" fontId="38" fillId="8" borderId="0" xfId="0" applyNumberFormat="1" applyFont="1" applyFill="1" applyBorder="1" applyAlignment="1">
      <alignment horizontal="left" vertical="center"/>
    </xf>
    <xf numFmtId="0" fontId="38" fillId="8" borderId="0" xfId="0" applyFont="1" applyFill="1" applyBorder="1" applyAlignment="1">
      <alignment horizontal="center" vertical="center"/>
    </xf>
    <xf numFmtId="0" fontId="44" fillId="6" borderId="0" xfId="0" applyFont="1" applyFill="1" applyBorder="1"/>
    <xf numFmtId="0" fontId="0" fillId="6" borderId="0" xfId="0" applyFill="1"/>
    <xf numFmtId="0" fontId="6" fillId="6" borderId="0" xfId="0" applyFont="1" applyFill="1" applyBorder="1"/>
    <xf numFmtId="0" fontId="39" fillId="7" borderId="0" xfId="0" applyFont="1" applyFill="1" applyBorder="1" applyAlignment="1">
      <alignment horizontal="center"/>
    </xf>
    <xf numFmtId="0" fontId="0" fillId="10" borderId="0" xfId="0" applyFill="1" applyBorder="1"/>
    <xf numFmtId="0" fontId="39" fillId="6" borderId="0" xfId="0" applyFont="1" applyFill="1" applyBorder="1" applyAlignment="1">
      <alignment horizontal="center" vertical="center"/>
    </xf>
    <xf numFmtId="0" fontId="14" fillId="10" borderId="0" xfId="0" applyFont="1" applyFill="1" applyBorder="1" applyAlignment="1"/>
    <xf numFmtId="173" fontId="0" fillId="0" borderId="0" xfId="0" applyNumberFormat="1" applyFill="1"/>
    <xf numFmtId="0" fontId="4" fillId="0" borderId="0" xfId="0" applyFont="1" applyFill="1"/>
    <xf numFmtId="0" fontId="2" fillId="0" borderId="0" xfId="0" applyFont="1" applyBorder="1"/>
    <xf numFmtId="0" fontId="2" fillId="0" borderId="0" xfId="0" applyFont="1" applyFill="1" applyAlignment="1">
      <alignment horizontal="right"/>
    </xf>
    <xf numFmtId="164" fontId="2" fillId="0" borderId="3" xfId="0" applyNumberFormat="1" applyFont="1" applyBorder="1"/>
    <xf numFmtId="164" fontId="2" fillId="0" borderId="3" xfId="0" applyNumberFormat="1" applyFont="1" applyBorder="1" applyAlignment="1">
      <alignment horizontal="right"/>
    </xf>
    <xf numFmtId="164" fontId="20" fillId="2" borderId="25" xfId="1" applyNumberFormat="1" applyFont="1" applyFill="1" applyBorder="1"/>
    <xf numFmtId="4" fontId="20" fillId="2" borderId="2" xfId="1" applyNumberFormat="1" applyFont="1" applyFill="1" applyBorder="1"/>
    <xf numFmtId="4" fontId="20" fillId="2" borderId="26" xfId="1" applyNumberFormat="1" applyFont="1" applyFill="1" applyBorder="1"/>
    <xf numFmtId="164" fontId="20" fillId="2" borderId="27" xfId="1" applyNumberFormat="1" applyFont="1" applyFill="1" applyBorder="1"/>
    <xf numFmtId="164" fontId="20" fillId="0" borderId="25" xfId="1" applyNumberFormat="1" applyFont="1" applyFill="1" applyBorder="1"/>
    <xf numFmtId="4" fontId="20" fillId="0" borderId="2" xfId="1" applyNumberFormat="1" applyFont="1" applyFill="1" applyBorder="1"/>
    <xf numFmtId="164" fontId="20" fillId="0" borderId="27" xfId="1" applyNumberFormat="1" applyFont="1" applyFill="1" applyBorder="1"/>
    <xf numFmtId="4" fontId="4" fillId="0" borderId="2" xfId="0" applyNumberFormat="1" applyFont="1" applyFill="1" applyBorder="1" applyAlignment="1">
      <alignment horizontal="right"/>
    </xf>
    <xf numFmtId="4" fontId="20" fillId="0" borderId="2" xfId="1" applyNumberFormat="1" applyFont="1" applyFill="1" applyBorder="1" applyAlignment="1">
      <alignment horizontal="right"/>
    </xf>
    <xf numFmtId="164" fontId="20" fillId="0" borderId="28" xfId="1" applyNumberFormat="1" applyFont="1" applyFill="1" applyBorder="1"/>
    <xf numFmtId="4" fontId="20" fillId="0" borderId="29" xfId="1" applyNumberFormat="1" applyFont="1" applyFill="1" applyBorder="1" applyAlignment="1">
      <alignment horizontal="right"/>
    </xf>
    <xf numFmtId="4" fontId="20" fillId="0" borderId="29" xfId="1" applyNumberFormat="1" applyFont="1" applyFill="1" applyBorder="1"/>
    <xf numFmtId="164" fontId="20" fillId="0" borderId="30" xfId="1" applyNumberFormat="1" applyFont="1" applyFill="1" applyBorder="1"/>
    <xf numFmtId="164" fontId="20" fillId="2" borderId="31" xfId="1" applyNumberFormat="1" applyFont="1" applyFill="1" applyBorder="1"/>
    <xf numFmtId="164" fontId="20" fillId="2" borderId="32" xfId="1" applyNumberFormat="1" applyFont="1" applyFill="1" applyBorder="1"/>
    <xf numFmtId="0" fontId="4" fillId="0" borderId="31" xfId="0" applyFont="1" applyFill="1" applyBorder="1" applyAlignment="1">
      <alignment horizontal="left"/>
    </xf>
    <xf numFmtId="49" fontId="4" fillId="0" borderId="26" xfId="0" applyNumberFormat="1" applyFont="1" applyFill="1" applyBorder="1" applyAlignment="1">
      <alignment horizontal="left"/>
    </xf>
    <xf numFmtId="49" fontId="4" fillId="2" borderId="26" xfId="0" applyNumberFormat="1" applyFont="1" applyFill="1" applyBorder="1" applyAlignment="1">
      <alignment horizontal="center"/>
    </xf>
    <xf numFmtId="0" fontId="4" fillId="0" borderId="26" xfId="0" applyFont="1" applyFill="1" applyBorder="1" applyAlignment="1">
      <alignment horizontal="left"/>
    </xf>
    <xf numFmtId="0" fontId="4" fillId="0" borderId="32" xfId="0" applyFont="1" applyFill="1" applyBorder="1" applyAlignment="1">
      <alignment horizontal="center"/>
    </xf>
    <xf numFmtId="0" fontId="4" fillId="0" borderId="25" xfId="0" applyFont="1" applyFill="1" applyBorder="1" applyAlignment="1">
      <alignment horizontal="left"/>
    </xf>
    <xf numFmtId="49" fontId="4" fillId="0" borderId="2" xfId="0" applyNumberFormat="1" applyFont="1" applyFill="1" applyBorder="1" applyAlignment="1">
      <alignment horizontal="left"/>
    </xf>
    <xf numFmtId="49" fontId="4" fillId="2" borderId="2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center"/>
    </xf>
    <xf numFmtId="0" fontId="20" fillId="0" borderId="25" xfId="0" applyFont="1" applyFill="1" applyBorder="1" applyAlignment="1">
      <alignment horizontal="left"/>
    </xf>
    <xf numFmtId="49" fontId="20" fillId="0" borderId="2" xfId="0" applyNumberFormat="1" applyFont="1" applyFill="1" applyBorder="1" applyAlignment="1">
      <alignment horizontal="left"/>
    </xf>
    <xf numFmtId="49" fontId="20" fillId="2" borderId="2" xfId="0" applyNumberFormat="1" applyFont="1" applyFill="1" applyBorder="1" applyAlignment="1">
      <alignment horizontal="center"/>
    </xf>
    <xf numFmtId="0" fontId="20" fillId="0" borderId="2" xfId="0" applyFont="1" applyFill="1" applyBorder="1" applyAlignment="1">
      <alignment horizontal="left"/>
    </xf>
    <xf numFmtId="49" fontId="4" fillId="0" borderId="2" xfId="0" applyNumberFormat="1" applyFont="1" applyFill="1" applyBorder="1" applyAlignment="1">
      <alignment horizontal="center"/>
    </xf>
    <xf numFmtId="0" fontId="4" fillId="0" borderId="28" xfId="0" applyFont="1" applyFill="1" applyBorder="1" applyAlignment="1">
      <alignment horizontal="left"/>
    </xf>
    <xf numFmtId="49" fontId="4" fillId="0" borderId="29" xfId="0" applyNumberFormat="1" applyFont="1" applyFill="1" applyBorder="1" applyAlignment="1">
      <alignment horizontal="left"/>
    </xf>
    <xf numFmtId="49" fontId="4" fillId="0" borderId="29" xfId="0" applyNumberFormat="1" applyFont="1" applyFill="1" applyBorder="1" applyAlignment="1">
      <alignment horizontal="center"/>
    </xf>
    <xf numFmtId="0" fontId="4" fillId="0" borderId="29" xfId="0" applyFont="1" applyFill="1" applyBorder="1" applyAlignment="1">
      <alignment horizontal="left"/>
    </xf>
    <xf numFmtId="0" fontId="4" fillId="0" borderId="30" xfId="0" applyFont="1" applyFill="1" applyBorder="1" applyAlignment="1">
      <alignment horizontal="center"/>
    </xf>
    <xf numFmtId="0" fontId="18" fillId="0" borderId="0" xfId="0" applyFont="1" applyFill="1"/>
    <xf numFmtId="16" fontId="22" fillId="0" borderId="12" xfId="0" applyNumberFormat="1" applyFont="1" applyFill="1" applyBorder="1" applyAlignment="1">
      <alignment horizontal="center" vertical="center"/>
    </xf>
    <xf numFmtId="1" fontId="32" fillId="0" borderId="17" xfId="0" applyNumberFormat="1" applyFont="1" applyFill="1" applyBorder="1" applyAlignment="1">
      <alignment horizontal="center" vertical="center"/>
    </xf>
    <xf numFmtId="16" fontId="22" fillId="0" borderId="17" xfId="0" applyNumberFormat="1" applyFont="1" applyFill="1" applyBorder="1" applyAlignment="1">
      <alignment vertical="center" wrapText="1"/>
    </xf>
    <xf numFmtId="0" fontId="22" fillId="0" borderId="17" xfId="0" applyFont="1" applyFill="1" applyBorder="1" applyAlignment="1">
      <alignment horizontal="center" vertical="center"/>
    </xf>
    <xf numFmtId="1" fontId="32" fillId="0" borderId="11" xfId="0" applyNumberFormat="1" applyFont="1" applyFill="1" applyBorder="1" applyAlignment="1">
      <alignment horizontal="center" vertical="center"/>
    </xf>
    <xf numFmtId="16" fontId="22" fillId="0" borderId="11" xfId="0" applyNumberFormat="1" applyFont="1" applyFill="1" applyBorder="1" applyAlignment="1">
      <alignment vertical="center" wrapText="1"/>
    </xf>
    <xf numFmtId="0" fontId="22" fillId="0" borderId="11" xfId="0" applyFont="1" applyFill="1" applyBorder="1" applyAlignment="1">
      <alignment horizontal="center" vertical="center"/>
    </xf>
    <xf numFmtId="16" fontId="20" fillId="0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Fill="1" applyBorder="1" applyAlignment="1">
      <alignment horizontal="center" vertical="center"/>
    </xf>
    <xf numFmtId="16" fontId="20" fillId="0" borderId="12" xfId="0" applyNumberFormat="1" applyFont="1" applyFill="1" applyBorder="1" applyAlignment="1">
      <alignment vertical="center" wrapText="1"/>
    </xf>
    <xf numFmtId="0" fontId="20" fillId="0" borderId="12" xfId="0" applyFont="1" applyFill="1" applyBorder="1" applyAlignment="1">
      <alignment horizontal="center" vertical="center"/>
    </xf>
    <xf numFmtId="0" fontId="4" fillId="0" borderId="18" xfId="0" applyFont="1" applyBorder="1"/>
    <xf numFmtId="0" fontId="22" fillId="0" borderId="12" xfId="0" applyFont="1" applyFill="1" applyBorder="1" applyAlignment="1">
      <alignment vertical="center"/>
    </xf>
    <xf numFmtId="1" fontId="32" fillId="0" borderId="12" xfId="0" applyNumberFormat="1" applyFont="1" applyFill="1" applyBorder="1" applyAlignment="1">
      <alignment horizontal="center" vertical="center"/>
    </xf>
    <xf numFmtId="16" fontId="22" fillId="0" borderId="12" xfId="0" applyNumberFormat="1" applyFont="1" applyFill="1" applyBorder="1" applyAlignment="1">
      <alignment horizontal="left" vertical="center" wrapText="1"/>
    </xf>
    <xf numFmtId="0" fontId="22" fillId="0" borderId="12" xfId="0" applyFont="1" applyFill="1" applyBorder="1" applyAlignment="1">
      <alignment horizontal="center" vertical="center"/>
    </xf>
    <xf numFmtId="16" fontId="20" fillId="0" borderId="12" xfId="0" applyNumberFormat="1" applyFont="1" applyFill="1" applyBorder="1" applyAlignment="1">
      <alignment vertical="center"/>
    </xf>
    <xf numFmtId="16" fontId="22" fillId="0" borderId="12" xfId="0" applyNumberFormat="1" applyFont="1" applyFill="1" applyBorder="1" applyAlignment="1">
      <alignment vertical="center" wrapText="1"/>
    </xf>
    <xf numFmtId="0" fontId="20" fillId="0" borderId="12" xfId="0" applyFont="1" applyFill="1" applyBorder="1" applyAlignment="1">
      <alignment vertical="center"/>
    </xf>
    <xf numFmtId="16" fontId="20" fillId="0" borderId="12" xfId="0" applyNumberFormat="1" applyFont="1" applyFill="1" applyBorder="1" applyAlignment="1">
      <alignment horizontal="left" vertical="center" wrapText="1"/>
    </xf>
    <xf numFmtId="0" fontId="22" fillId="0" borderId="12" xfId="0" applyFont="1" applyFill="1" applyBorder="1" applyAlignment="1">
      <alignment horizontal="left" vertical="center"/>
    </xf>
    <xf numFmtId="0" fontId="20" fillId="0" borderId="12" xfId="0" applyFont="1" applyFill="1" applyBorder="1" applyAlignment="1">
      <alignment horizontal="left" vertical="center"/>
    </xf>
    <xf numFmtId="16" fontId="22" fillId="0" borderId="12" xfId="0" applyNumberFormat="1" applyFont="1" applyFill="1" applyBorder="1" applyAlignment="1">
      <alignment vertical="center"/>
    </xf>
    <xf numFmtId="0" fontId="22" fillId="0" borderId="12" xfId="0" applyFont="1" applyFill="1" applyBorder="1"/>
    <xf numFmtId="1" fontId="32" fillId="0" borderId="12" xfId="0" applyNumberFormat="1" applyFont="1" applyFill="1" applyBorder="1" applyAlignment="1">
      <alignment horizontal="center"/>
    </xf>
    <xf numFmtId="0" fontId="20" fillId="0" borderId="19" xfId="0" applyFont="1" applyFill="1" applyBorder="1" applyAlignment="1">
      <alignment vertical="center"/>
    </xf>
    <xf numFmtId="1" fontId="4" fillId="0" borderId="19" xfId="0" applyNumberFormat="1" applyFont="1" applyFill="1" applyBorder="1" applyAlignment="1">
      <alignment horizontal="center" vertical="center"/>
    </xf>
    <xf numFmtId="16" fontId="20" fillId="0" borderId="19" xfId="0" applyNumberFormat="1" applyFont="1" applyFill="1" applyBorder="1" applyAlignment="1">
      <alignment vertical="center" wrapText="1"/>
    </xf>
    <xf numFmtId="0" fontId="20" fillId="0" borderId="19" xfId="0" applyFont="1" applyFill="1" applyBorder="1" applyAlignment="1">
      <alignment horizontal="center" vertical="center"/>
    </xf>
    <xf numFmtId="0" fontId="22" fillId="0" borderId="19" xfId="0" applyFont="1" applyFill="1" applyBorder="1" applyAlignment="1">
      <alignment vertical="center"/>
    </xf>
    <xf numFmtId="1" fontId="32" fillId="0" borderId="19" xfId="0" applyNumberFormat="1" applyFont="1" applyFill="1" applyBorder="1" applyAlignment="1">
      <alignment horizontal="center" vertical="center"/>
    </xf>
    <xf numFmtId="16" fontId="22" fillId="0" borderId="19" xfId="0" applyNumberFormat="1" applyFont="1" applyFill="1" applyBorder="1" applyAlignment="1">
      <alignment vertical="center" wrapText="1"/>
    </xf>
    <xf numFmtId="0" fontId="22" fillId="0" borderId="19" xfId="0" applyFont="1" applyFill="1" applyBorder="1" applyAlignment="1">
      <alignment horizontal="center" vertical="center"/>
    </xf>
    <xf numFmtId="0" fontId="32" fillId="0" borderId="18" xfId="0" applyFont="1" applyBorder="1"/>
    <xf numFmtId="0" fontId="4" fillId="0" borderId="19" xfId="0" applyFont="1" applyBorder="1"/>
    <xf numFmtId="0" fontId="0" fillId="0" borderId="19" xfId="0" applyBorder="1" applyAlignment="1">
      <alignment horizontal="center"/>
    </xf>
    <xf numFmtId="0" fontId="4" fillId="0" borderId="15" xfId="0" applyFont="1" applyBorder="1"/>
    <xf numFmtId="0" fontId="0" fillId="0" borderId="15" xfId="0" applyBorder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0" fontId="2" fillId="0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37" fillId="3" borderId="0" xfId="0" applyFont="1" applyFill="1" applyAlignment="1">
      <alignment horizontal="center"/>
    </xf>
    <xf numFmtId="0" fontId="45" fillId="7" borderId="22" xfId="0" applyFont="1" applyFill="1" applyBorder="1" applyAlignment="1">
      <alignment horizontal="center"/>
    </xf>
    <xf numFmtId="0" fontId="43" fillId="0" borderId="0" xfId="0" applyFont="1" applyFill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3" fillId="0" borderId="24" xfId="0" applyFont="1" applyFill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19837</xdr:colOff>
      <xdr:row>17</xdr:row>
      <xdr:rowOff>168615</xdr:rowOff>
    </xdr:from>
    <xdr:to>
      <xdr:col>15</xdr:col>
      <xdr:colOff>17668</xdr:colOff>
      <xdr:row>19</xdr:row>
      <xdr:rowOff>86138</xdr:rowOff>
    </xdr:to>
    <xdr:sp macro="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729263" y="3790876"/>
          <a:ext cx="1897309" cy="32392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FIGURA (FIT)</a:t>
          </a:r>
        </a:p>
      </xdr:txBody>
    </xdr:sp>
    <xdr:clientData/>
  </xdr:twoCellAnchor>
  <xdr:twoCellAnchor>
    <xdr:from>
      <xdr:col>8</xdr:col>
      <xdr:colOff>397565</xdr:colOff>
      <xdr:row>10</xdr:row>
      <xdr:rowOff>0</xdr:rowOff>
    </xdr:from>
    <xdr:to>
      <xdr:col>11</xdr:col>
      <xdr:colOff>1206</xdr:colOff>
      <xdr:row>18</xdr:row>
      <xdr:rowOff>160633</xdr:rowOff>
    </xdr:to>
    <xdr:cxnSp macro="">
      <xdr:nvCxnSpPr>
        <xdr:cNvPr id="7" name="Conector angul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7580243" y="2199861"/>
          <a:ext cx="2130389" cy="1786233"/>
        </a:xfrm>
        <a:prstGeom prst="bentConnector3">
          <a:avLst>
            <a:gd name="adj1" fmla="val -594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18392</xdr:colOff>
      <xdr:row>19</xdr:row>
      <xdr:rowOff>139136</xdr:rowOff>
    </xdr:from>
    <xdr:to>
      <xdr:col>15</xdr:col>
      <xdr:colOff>17668</xdr:colOff>
      <xdr:row>21</xdr:row>
      <xdr:rowOff>115956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727818" y="4167797"/>
          <a:ext cx="1898754" cy="38322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TALLA</a:t>
          </a:r>
        </a:p>
      </xdr:txBody>
    </xdr:sp>
    <xdr:clientData/>
  </xdr:twoCellAnchor>
  <xdr:twoCellAnchor>
    <xdr:from>
      <xdr:col>10</xdr:col>
      <xdr:colOff>924659</xdr:colOff>
      <xdr:row>21</xdr:row>
      <xdr:rowOff>172991</xdr:rowOff>
    </xdr:from>
    <xdr:to>
      <xdr:col>15</xdr:col>
      <xdr:colOff>17668</xdr:colOff>
      <xdr:row>23</xdr:row>
      <xdr:rowOff>125896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706433" y="4608052"/>
          <a:ext cx="1920139" cy="35930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ULTIMOS</a:t>
          </a:r>
          <a:r>
            <a:rPr lang="es-EC" sz="1100" baseline="0"/>
            <a:t> </a:t>
          </a:r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DOS</a:t>
          </a:r>
          <a:r>
            <a:rPr lang="es-EC" sz="1100" baseline="0"/>
            <a:t> </a:t>
          </a:r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DIGITOS AÑO</a:t>
          </a:r>
        </a:p>
      </xdr:txBody>
    </xdr:sp>
    <xdr:clientData/>
  </xdr:twoCellAnchor>
  <xdr:twoCellAnchor>
    <xdr:from>
      <xdr:col>11</xdr:col>
      <xdr:colOff>18150</xdr:colOff>
      <xdr:row>26</xdr:row>
      <xdr:rowOff>19066</xdr:rowOff>
    </xdr:from>
    <xdr:to>
      <xdr:col>15</xdr:col>
      <xdr:colOff>17668</xdr:colOff>
      <xdr:row>27</xdr:row>
      <xdr:rowOff>168966</xdr:rowOff>
    </xdr:to>
    <xdr:sp macro="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727576" y="5470127"/>
          <a:ext cx="1898996" cy="3531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PRODUCTO</a:t>
          </a:r>
        </a:p>
        <a:p>
          <a:pPr algn="ctr"/>
          <a:endParaRPr lang="es-EC" sz="1100"/>
        </a:p>
      </xdr:txBody>
    </xdr:sp>
    <xdr:clientData/>
  </xdr:twoCellAnchor>
  <xdr:twoCellAnchor>
    <xdr:from>
      <xdr:col>5</xdr:col>
      <xdr:colOff>388731</xdr:colOff>
      <xdr:row>9</xdr:row>
      <xdr:rowOff>185530</xdr:rowOff>
    </xdr:from>
    <xdr:to>
      <xdr:col>11</xdr:col>
      <xdr:colOff>10039</xdr:colOff>
      <xdr:row>24</xdr:row>
      <xdr:rowOff>172626</xdr:rowOff>
    </xdr:to>
    <xdr:cxnSp macro="">
      <xdr:nvCxnSpPr>
        <xdr:cNvPr id="21" name="Conector angula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>
          <a:endCxn id="18" idx="1"/>
        </xdr:cNvCxnSpPr>
      </xdr:nvCxnSpPr>
      <xdr:spPr>
        <a:xfrm>
          <a:off x="5292035" y="2182191"/>
          <a:ext cx="4427430" cy="3035096"/>
        </a:xfrm>
        <a:prstGeom prst="bentConnector3">
          <a:avLst>
            <a:gd name="adj1" fmla="val -86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415235</xdr:colOff>
      <xdr:row>10</xdr:row>
      <xdr:rowOff>8835</xdr:rowOff>
    </xdr:from>
    <xdr:to>
      <xdr:col>11</xdr:col>
      <xdr:colOff>18150</xdr:colOff>
      <xdr:row>26</xdr:row>
      <xdr:rowOff>195616</xdr:rowOff>
    </xdr:to>
    <xdr:cxnSp macro="">
      <xdr:nvCxnSpPr>
        <xdr:cNvPr id="22" name="Conector angula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endCxn id="13" idx="1"/>
        </xdr:cNvCxnSpPr>
      </xdr:nvCxnSpPr>
      <xdr:spPr>
        <a:xfrm>
          <a:off x="4558748" y="2208696"/>
          <a:ext cx="5168828" cy="3437981"/>
        </a:xfrm>
        <a:prstGeom prst="bentConnector3">
          <a:avLst>
            <a:gd name="adj1" fmla="val -252"/>
          </a:avLst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397565</xdr:colOff>
      <xdr:row>10</xdr:row>
      <xdr:rowOff>26504</xdr:rowOff>
    </xdr:from>
    <xdr:to>
      <xdr:col>11</xdr:col>
      <xdr:colOff>724</xdr:colOff>
      <xdr:row>20</xdr:row>
      <xdr:rowOff>154050</xdr:rowOff>
    </xdr:to>
    <xdr:cxnSp macro="">
      <xdr:nvCxnSpPr>
        <xdr:cNvPr id="23" name="Conector angul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6820452" y="2226365"/>
          <a:ext cx="2889698" cy="2159546"/>
        </a:xfrm>
        <a:prstGeom prst="bentConnector3">
          <a:avLst>
            <a:gd name="adj1" fmla="val -446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388730</xdr:colOff>
      <xdr:row>10</xdr:row>
      <xdr:rowOff>26504</xdr:rowOff>
    </xdr:from>
    <xdr:to>
      <xdr:col>11</xdr:col>
      <xdr:colOff>2651</xdr:colOff>
      <xdr:row>22</xdr:row>
      <xdr:rowOff>184727</xdr:rowOff>
    </xdr:to>
    <xdr:cxnSp macro="">
      <xdr:nvCxnSpPr>
        <xdr:cNvPr id="14" name="Conector angul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051826" y="2226365"/>
          <a:ext cx="3660251" cy="2596623"/>
        </a:xfrm>
        <a:prstGeom prst="bentConnector3">
          <a:avLst>
            <a:gd name="adj1" fmla="val 278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10039</xdr:colOff>
      <xdr:row>23</xdr:row>
      <xdr:rowOff>198373</xdr:rowOff>
    </xdr:from>
    <xdr:to>
      <xdr:col>15</xdr:col>
      <xdr:colOff>17668</xdr:colOff>
      <xdr:row>25</xdr:row>
      <xdr:rowOff>146879</xdr:rowOff>
    </xdr:to>
    <xdr:sp macro="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719465" y="5039834"/>
          <a:ext cx="1907107" cy="35490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No</a:t>
          </a:r>
          <a:r>
            <a:rPr lang="es-EC" sz="1100"/>
            <a:t>. </a:t>
          </a:r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DISEÑO</a:t>
          </a:r>
          <a:r>
            <a:rPr lang="es-EC" sz="1100" baseline="0"/>
            <a:t> </a:t>
          </a:r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SECUENCIAL</a:t>
          </a:r>
        </a:p>
        <a:p>
          <a:pPr algn="l"/>
          <a:endParaRPr lang="es-EC" sz="1100"/>
        </a:p>
      </xdr:txBody>
    </xdr:sp>
    <xdr:clientData/>
  </xdr:twoCellAnchor>
  <xdr:twoCellAnchor>
    <xdr:from>
      <xdr:col>11</xdr:col>
      <xdr:colOff>4655</xdr:colOff>
      <xdr:row>15</xdr:row>
      <xdr:rowOff>159017</xdr:rowOff>
    </xdr:from>
    <xdr:to>
      <xdr:col>14</xdr:col>
      <xdr:colOff>574259</xdr:colOff>
      <xdr:row>17</xdr:row>
      <xdr:rowOff>127221</xdr:rowOff>
    </xdr:to>
    <xdr:sp macro="" textlink="">
      <xdr:nvSpPr>
        <xdr:cNvPr id="40" name="Rectángulo redondead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9714081" y="3374878"/>
          <a:ext cx="1885987" cy="37460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CALIDAD</a:t>
          </a:r>
        </a:p>
      </xdr:txBody>
    </xdr:sp>
    <xdr:clientData/>
  </xdr:twoCellAnchor>
  <xdr:twoCellAnchor>
    <xdr:from>
      <xdr:col>9</xdr:col>
      <xdr:colOff>402383</xdr:colOff>
      <xdr:row>10</xdr:row>
      <xdr:rowOff>35339</xdr:rowOff>
    </xdr:from>
    <xdr:to>
      <xdr:col>11</xdr:col>
      <xdr:colOff>4655</xdr:colOff>
      <xdr:row>16</xdr:row>
      <xdr:rowOff>143119</xdr:rowOff>
    </xdr:to>
    <xdr:cxnSp macro="">
      <xdr:nvCxnSpPr>
        <xdr:cNvPr id="58" name="Conector angula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>
          <a:endCxn id="40" idx="1"/>
        </xdr:cNvCxnSpPr>
      </xdr:nvCxnSpPr>
      <xdr:spPr>
        <a:xfrm>
          <a:off x="8344853" y="2235200"/>
          <a:ext cx="1369228" cy="1326980"/>
        </a:xfrm>
        <a:prstGeom prst="bentConnector3">
          <a:avLst>
            <a:gd name="adj1" fmla="val -329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31159</xdr:colOff>
      <xdr:row>13</xdr:row>
      <xdr:rowOff>88348</xdr:rowOff>
    </xdr:from>
    <xdr:to>
      <xdr:col>15</xdr:col>
      <xdr:colOff>17668</xdr:colOff>
      <xdr:row>15</xdr:row>
      <xdr:rowOff>96309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40585" y="2897809"/>
          <a:ext cx="1885987" cy="41436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100" b="1" baseline="0">
              <a:solidFill>
                <a:schemeClr val="tx2"/>
              </a:solidFill>
              <a:latin typeface="+mn-lt"/>
              <a:ea typeface="+mn-ea"/>
              <a:cs typeface="+mn-cs"/>
            </a:rPr>
            <a:t>TIPO</a:t>
          </a:r>
          <a:r>
            <a:rPr lang="es-EC" sz="1100" baseline="0"/>
            <a:t> </a:t>
          </a:r>
          <a:r>
            <a:rPr lang="es-EC" sz="1100" b="1" baseline="0">
              <a:solidFill>
                <a:schemeClr val="tx2"/>
              </a:solidFill>
            </a:rPr>
            <a:t>DE MANGA</a:t>
          </a:r>
          <a:endParaRPr lang="es-EC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10</xdr:col>
      <xdr:colOff>465715</xdr:colOff>
      <xdr:row>9</xdr:row>
      <xdr:rowOff>191211</xdr:rowOff>
    </xdr:from>
    <xdr:to>
      <xdr:col>11</xdr:col>
      <xdr:colOff>31158</xdr:colOff>
      <xdr:row>14</xdr:row>
      <xdr:rowOff>92329</xdr:rowOff>
    </xdr:to>
    <xdr:cxnSp macro="">
      <xdr:nvCxnSpPr>
        <xdr:cNvPr id="17" name="Conector angul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16" idx="1"/>
        </xdr:cNvCxnSpPr>
      </xdr:nvCxnSpPr>
      <xdr:spPr>
        <a:xfrm rot="16200000" flipH="1">
          <a:off x="9035478" y="2399883"/>
          <a:ext cx="917118" cy="493095"/>
        </a:xfrm>
        <a:prstGeom prst="bentConnector2">
          <a:avLst/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31805</xdr:colOff>
      <xdr:row>26</xdr:row>
      <xdr:rowOff>87462</xdr:rowOff>
    </xdr:from>
    <xdr:to>
      <xdr:col>2</xdr:col>
      <xdr:colOff>47707</xdr:colOff>
      <xdr:row>27</xdr:row>
      <xdr:rowOff>63608</xdr:rowOff>
    </xdr:to>
    <xdr:sp macro="[0]!Guardar_Registr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13468" y="3927942"/>
          <a:ext cx="1216549" cy="270344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200" b="1"/>
            <a:t>Nuevo</a:t>
          </a:r>
          <a:r>
            <a:rPr lang="es-EC" sz="1100"/>
            <a:t> </a:t>
          </a:r>
          <a:r>
            <a:rPr lang="es-EC" sz="1200" b="1"/>
            <a:t>Registro</a:t>
          </a:r>
        </a:p>
      </xdr:txBody>
    </xdr:sp>
    <xdr:clientData/>
  </xdr:twoCellAnchor>
  <xdr:twoCellAnchor>
    <xdr:from>
      <xdr:col>3</xdr:col>
      <xdr:colOff>0</xdr:colOff>
      <xdr:row>26</xdr:row>
      <xdr:rowOff>63608</xdr:rowOff>
    </xdr:from>
    <xdr:to>
      <xdr:col>4</xdr:col>
      <xdr:colOff>39756</xdr:colOff>
      <xdr:row>27</xdr:row>
      <xdr:rowOff>39755</xdr:rowOff>
    </xdr:to>
    <xdr:sp macro="[0]!Guardar_Registros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852654" y="3904088"/>
          <a:ext cx="1240403" cy="27034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EC" sz="1200" b="1">
              <a:solidFill>
                <a:schemeClr val="lt1"/>
              </a:solidFill>
              <a:latin typeface="+mn-lt"/>
              <a:ea typeface="+mn-ea"/>
              <a:cs typeface="+mn-cs"/>
            </a:rPr>
            <a:t>Guardar</a:t>
          </a:r>
        </a:p>
      </xdr:txBody>
    </xdr:sp>
    <xdr:clientData/>
  </xdr:twoCellAnchor>
  <xdr:twoCellAnchor>
    <xdr:from>
      <xdr:col>5</xdr:col>
      <xdr:colOff>55659</xdr:colOff>
      <xdr:row>26</xdr:row>
      <xdr:rowOff>63608</xdr:rowOff>
    </xdr:from>
    <xdr:to>
      <xdr:col>6</xdr:col>
      <xdr:colOff>7951</xdr:colOff>
      <xdr:row>27</xdr:row>
      <xdr:rowOff>39755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355450" y="3904088"/>
          <a:ext cx="1152939" cy="27034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C" sz="1200" b="1"/>
            <a:t>Base Datos</a:t>
          </a:r>
        </a:p>
        <a:p>
          <a:pPr algn="l"/>
          <a:endParaRPr lang="es-EC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F123"/>
  <sheetViews>
    <sheetView topLeftCell="L1" zoomScale="90" zoomScaleNormal="90" workbookViewId="0">
      <selection activeCell="I60" sqref="I59:I60"/>
    </sheetView>
  </sheetViews>
  <sheetFormatPr baseColWidth="10" defaultRowHeight="12.55"/>
  <cols>
    <col min="1" max="1" width="38.21875" customWidth="1"/>
    <col min="2" max="2" width="14.5546875" bestFit="1" customWidth="1"/>
    <col min="3" max="3" width="2.5546875" customWidth="1"/>
    <col min="4" max="4" width="2.44140625" customWidth="1"/>
    <col min="5" max="8" width="10.5546875" customWidth="1"/>
    <col min="9" max="9" width="11.21875" customWidth="1"/>
    <col min="10" max="10" width="11.77734375" customWidth="1"/>
    <col min="11" max="11" width="13" customWidth="1"/>
    <col min="12" max="12" width="8.88671875" customWidth="1"/>
    <col min="13" max="13" width="6.33203125" customWidth="1"/>
    <col min="14" max="14" width="3.21875" customWidth="1"/>
    <col min="15" max="15" width="8.109375" style="59" customWidth="1"/>
    <col min="16" max="16" width="9.5546875" style="59" customWidth="1"/>
    <col min="17" max="17" width="6.88671875" style="51" customWidth="1"/>
    <col min="18" max="18" width="11.5546875" style="59"/>
    <col min="19" max="19" width="7" style="51" customWidth="1"/>
    <col min="20" max="20" width="11.5546875" style="59"/>
    <col min="21" max="21" width="7" style="51" customWidth="1"/>
    <col min="22" max="23" width="12.88671875" style="59" customWidth="1"/>
    <col min="24" max="30" width="12.88671875" customWidth="1"/>
    <col min="31" max="31" width="2.5546875" customWidth="1"/>
    <col min="32" max="32" width="20.5546875" customWidth="1"/>
  </cols>
  <sheetData>
    <row r="1" spans="1:32" ht="23.2">
      <c r="A1" s="278" t="s">
        <v>536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50"/>
      <c r="N1" s="50"/>
    </row>
    <row r="2" spans="1:32" ht="16" customHeight="1">
      <c r="V2" s="121" t="s">
        <v>1374</v>
      </c>
      <c r="W2" s="121" t="s">
        <v>1375</v>
      </c>
      <c r="X2" s="121" t="s">
        <v>1376</v>
      </c>
      <c r="Y2" s="121" t="s">
        <v>889</v>
      </c>
      <c r="Z2" s="121" t="s">
        <v>890</v>
      </c>
      <c r="AA2" s="121" t="s">
        <v>520</v>
      </c>
      <c r="AB2" s="121" t="s">
        <v>904</v>
      </c>
      <c r="AC2" s="121" t="s">
        <v>545</v>
      </c>
      <c r="AD2" s="121" t="s">
        <v>891</v>
      </c>
      <c r="AF2" s="121" t="s">
        <v>1032</v>
      </c>
    </row>
    <row r="3" spans="1:32" ht="16" customHeight="1">
      <c r="A3" s="14" t="s">
        <v>566</v>
      </c>
      <c r="V3" s="122">
        <v>2</v>
      </c>
      <c r="W3" s="122">
        <v>4</v>
      </c>
      <c r="X3" s="123">
        <v>1</v>
      </c>
      <c r="Y3" s="123">
        <v>289</v>
      </c>
      <c r="Z3" s="124">
        <f ca="1">TODAY()</f>
        <v>43630</v>
      </c>
      <c r="AA3" s="123">
        <v>36</v>
      </c>
      <c r="AB3" s="123">
        <v>1</v>
      </c>
      <c r="AC3" s="123">
        <v>1</v>
      </c>
      <c r="AD3" s="123">
        <v>0</v>
      </c>
      <c r="AE3" s="123"/>
      <c r="AF3" s="125" t="str">
        <f ca="1">(V3&amp;W3&amp;X3&amp;Y3&amp;Z3&amp;AA3&amp;AB3&amp;AC3&amp;AD3)</f>
        <v>2412894363036110</v>
      </c>
    </row>
    <row r="4" spans="1:32" ht="22.55" customHeight="1">
      <c r="B4" s="15"/>
      <c r="C4" s="15"/>
      <c r="E4" s="279" t="s">
        <v>903</v>
      </c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96"/>
      <c r="Q4" s="56"/>
      <c r="V4" s="122"/>
      <c r="W4" s="122"/>
      <c r="X4" s="123"/>
      <c r="Y4" s="123"/>
      <c r="Z4" s="123"/>
      <c r="AA4" s="123"/>
      <c r="AB4" s="123"/>
      <c r="AC4" s="123"/>
      <c r="AD4" s="123"/>
      <c r="AE4" s="123"/>
      <c r="AF4" s="123"/>
    </row>
    <row r="5" spans="1:32" ht="16" customHeight="1">
      <c r="V5" s="122"/>
      <c r="W5" s="122"/>
      <c r="X5" s="123"/>
      <c r="Y5" s="123"/>
      <c r="Z5" s="123"/>
      <c r="AA5" s="123"/>
      <c r="AB5" s="123"/>
      <c r="AC5" s="123"/>
      <c r="AD5" s="123"/>
      <c r="AE5" s="123"/>
      <c r="AF5" s="123"/>
    </row>
    <row r="6" spans="1:32" ht="16" customHeight="1">
      <c r="M6" s="89"/>
      <c r="N6" s="89"/>
      <c r="P6" s="90"/>
      <c r="Q6" s="90"/>
      <c r="R6" s="90"/>
      <c r="S6" s="90"/>
      <c r="T6" s="90"/>
      <c r="U6" s="90"/>
      <c r="V6" s="126"/>
      <c r="W6" s="126"/>
      <c r="X6" s="123"/>
      <c r="Y6" s="123"/>
      <c r="Z6" s="123"/>
      <c r="AA6" s="123"/>
      <c r="AB6" s="123"/>
      <c r="AC6" s="123"/>
      <c r="AD6" s="123"/>
      <c r="AE6" s="123"/>
      <c r="AF6" s="123"/>
    </row>
    <row r="7" spans="1:32" ht="16" customHeight="1">
      <c r="E7" s="99">
        <v>1</v>
      </c>
      <c r="F7" s="99">
        <v>2</v>
      </c>
      <c r="G7" s="99">
        <v>3</v>
      </c>
      <c r="H7" s="99">
        <v>4</v>
      </c>
      <c r="I7" s="99">
        <v>5</v>
      </c>
      <c r="J7" s="100">
        <v>6</v>
      </c>
      <c r="K7" s="100">
        <v>7</v>
      </c>
      <c r="L7" s="1"/>
      <c r="M7" s="1"/>
      <c r="N7" s="1"/>
      <c r="T7" s="82"/>
      <c r="V7" s="122"/>
      <c r="W7" s="127"/>
      <c r="X7" s="123"/>
      <c r="Y7" s="123"/>
      <c r="Z7" s="123"/>
      <c r="AA7" s="123"/>
      <c r="AB7" s="123"/>
      <c r="AC7" s="123"/>
      <c r="AD7" s="123"/>
      <c r="AE7" s="123"/>
      <c r="AF7" s="123"/>
    </row>
    <row r="8" spans="1:32" ht="16" customHeight="1">
      <c r="E8" s="52" t="s">
        <v>865</v>
      </c>
      <c r="F8" s="52" t="s">
        <v>889</v>
      </c>
      <c r="G8" s="52" t="s">
        <v>890</v>
      </c>
      <c r="H8" s="53" t="s">
        <v>520</v>
      </c>
      <c r="I8" s="52" t="s">
        <v>904</v>
      </c>
      <c r="J8" s="53" t="s">
        <v>545</v>
      </c>
      <c r="K8" s="53" t="s">
        <v>1624</v>
      </c>
      <c r="L8" s="1"/>
      <c r="M8" s="1"/>
      <c r="N8" s="1"/>
      <c r="T8" s="82"/>
      <c r="V8" s="122"/>
      <c r="W8" s="127"/>
      <c r="X8" s="123"/>
      <c r="Y8" s="123"/>
      <c r="Z8" s="123"/>
      <c r="AA8" s="123"/>
      <c r="AB8" s="123"/>
      <c r="AC8" s="123"/>
      <c r="AD8" s="123"/>
      <c r="AE8" s="123"/>
      <c r="AF8" s="123"/>
    </row>
    <row r="9" spans="1:32" ht="16" customHeight="1">
      <c r="E9" s="54"/>
      <c r="F9" s="54"/>
      <c r="G9" s="54"/>
      <c r="H9" s="55"/>
      <c r="I9" s="55"/>
      <c r="J9" s="55"/>
      <c r="K9" s="55"/>
      <c r="L9" s="1"/>
      <c r="M9" s="1"/>
      <c r="N9" s="1"/>
      <c r="R9" s="82"/>
      <c r="T9" s="82"/>
      <c r="V9" s="122"/>
      <c r="W9" s="127"/>
      <c r="X9" s="123"/>
      <c r="Y9" s="123"/>
      <c r="Z9" s="123"/>
      <c r="AA9" s="123"/>
      <c r="AB9" s="123"/>
      <c r="AC9" s="123"/>
      <c r="AD9" s="123"/>
      <c r="AE9" s="123"/>
      <c r="AF9" s="123"/>
    </row>
    <row r="10" spans="1:32" ht="16" customHeight="1">
      <c r="E10" s="87" t="s">
        <v>888</v>
      </c>
      <c r="F10" s="87" t="s">
        <v>888</v>
      </c>
      <c r="G10" s="87" t="s">
        <v>522</v>
      </c>
      <c r="H10" s="88" t="s">
        <v>522</v>
      </c>
      <c r="I10" s="88" t="s">
        <v>544</v>
      </c>
      <c r="J10" s="87" t="s">
        <v>544</v>
      </c>
      <c r="K10" s="87" t="s">
        <v>544</v>
      </c>
      <c r="L10" s="1"/>
      <c r="M10" s="1"/>
      <c r="N10" s="1"/>
      <c r="T10" s="82"/>
      <c r="V10" s="122"/>
      <c r="W10" s="127"/>
      <c r="X10" s="123"/>
      <c r="Y10" s="123"/>
      <c r="Z10" s="123"/>
      <c r="AA10" s="123"/>
      <c r="AB10" s="123"/>
      <c r="AC10" s="123"/>
      <c r="AD10" s="123"/>
      <c r="AE10" s="123"/>
      <c r="AF10" s="123"/>
    </row>
    <row r="11" spans="1:32" ht="16" customHeight="1">
      <c r="E11" s="94"/>
      <c r="F11" s="57"/>
      <c r="G11" s="57"/>
      <c r="H11" s="57"/>
      <c r="I11" s="57"/>
      <c r="J11" s="17"/>
      <c r="K11" s="17"/>
      <c r="L11" s="1"/>
      <c r="M11" s="1"/>
      <c r="N11" s="1"/>
      <c r="T11" s="82"/>
      <c r="V11" s="122"/>
      <c r="W11" s="127"/>
      <c r="X11" s="123"/>
      <c r="Y11" s="123"/>
      <c r="Z11" s="123"/>
      <c r="AA11" s="123"/>
      <c r="AB11" s="123"/>
      <c r="AC11" s="123"/>
      <c r="AD11" s="123"/>
      <c r="AE11" s="123"/>
      <c r="AF11" s="123"/>
    </row>
    <row r="12" spans="1:32" ht="16" customHeight="1">
      <c r="A12" s="280" t="s">
        <v>1373</v>
      </c>
      <c r="B12" s="281"/>
      <c r="C12" s="64"/>
      <c r="E12" s="1"/>
      <c r="F12" s="51"/>
      <c r="G12" s="51"/>
      <c r="H12" s="17"/>
      <c r="I12" s="17"/>
      <c r="J12" s="17"/>
      <c r="K12" s="17"/>
      <c r="L12" s="1"/>
      <c r="M12" s="1"/>
      <c r="N12" s="1"/>
      <c r="V12" s="122"/>
      <c r="W12" s="122"/>
      <c r="X12" s="123"/>
      <c r="Y12" s="123"/>
      <c r="Z12" s="123"/>
      <c r="AA12" s="123"/>
      <c r="AB12" s="123"/>
      <c r="AC12" s="123"/>
      <c r="AD12" s="123"/>
      <c r="AE12" s="123"/>
      <c r="AF12" s="123"/>
    </row>
    <row r="13" spans="1:32" ht="16" customHeight="1">
      <c r="A13" s="20" t="s">
        <v>537</v>
      </c>
      <c r="B13" s="21"/>
      <c r="C13" s="19"/>
      <c r="E13" s="95"/>
      <c r="F13" s="17"/>
      <c r="G13" s="17"/>
      <c r="H13" s="17"/>
      <c r="I13" s="17"/>
      <c r="J13" s="17"/>
      <c r="K13" s="17"/>
      <c r="L13" s="1"/>
      <c r="M13" s="1"/>
      <c r="N13" s="1"/>
      <c r="O13" s="82"/>
      <c r="P13" s="82"/>
      <c r="Q13" s="97"/>
      <c r="R13" s="98"/>
      <c r="S13" s="97"/>
      <c r="U13" s="98"/>
      <c r="V13" s="122"/>
      <c r="W13" s="122"/>
      <c r="X13" s="123"/>
      <c r="Y13" s="123"/>
      <c r="Z13" s="123"/>
      <c r="AA13" s="123"/>
      <c r="AB13" s="123"/>
      <c r="AC13" s="123"/>
      <c r="AD13" s="123"/>
      <c r="AE13" s="123"/>
      <c r="AF13" s="123"/>
    </row>
    <row r="14" spans="1:32" ht="16" customHeight="1">
      <c r="A14" s="22"/>
      <c r="B14" s="23"/>
      <c r="C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82"/>
      <c r="V14" s="122"/>
      <c r="W14" s="122"/>
      <c r="X14" s="123"/>
      <c r="Y14" s="123"/>
      <c r="Z14" s="123"/>
      <c r="AA14" s="123"/>
      <c r="AB14" s="123"/>
      <c r="AC14" s="123"/>
      <c r="AD14" s="123"/>
      <c r="AE14" s="123"/>
      <c r="AF14" s="123"/>
    </row>
    <row r="15" spans="1:32" ht="16" customHeight="1">
      <c r="A15" s="24" t="s">
        <v>538</v>
      </c>
      <c r="B15" s="24" t="s">
        <v>530</v>
      </c>
      <c r="C15" s="19"/>
      <c r="E15" s="1"/>
      <c r="F15" s="1"/>
      <c r="G15" s="1"/>
      <c r="H15" s="1"/>
      <c r="I15" s="1"/>
      <c r="J15" s="1"/>
      <c r="K15" s="1"/>
      <c r="L15" s="1"/>
      <c r="M15" s="1"/>
      <c r="N15" s="1"/>
      <c r="O15" s="82"/>
      <c r="P15" s="82"/>
      <c r="V15" s="122"/>
      <c r="W15" s="122"/>
      <c r="X15" s="123"/>
      <c r="Y15" s="123"/>
      <c r="Z15" s="123"/>
      <c r="AA15" s="123"/>
      <c r="AB15" s="123"/>
      <c r="AC15" s="123"/>
      <c r="AD15" s="123"/>
      <c r="AE15" s="123"/>
      <c r="AF15" s="123"/>
    </row>
    <row r="16" spans="1:32" ht="16" customHeight="1">
      <c r="A16" s="119" t="s">
        <v>525</v>
      </c>
      <c r="B16" s="25" t="s">
        <v>546</v>
      </c>
      <c r="C16" s="65"/>
      <c r="E16" s="1"/>
      <c r="F16" s="1"/>
      <c r="G16" s="1"/>
      <c r="H16" s="1"/>
      <c r="I16" s="1"/>
      <c r="J16" s="1"/>
      <c r="K16" s="1"/>
      <c r="L16" s="1"/>
      <c r="M16" s="1"/>
      <c r="N16" s="1"/>
      <c r="O16" s="82"/>
      <c r="V16" s="122"/>
      <c r="W16" s="122"/>
      <c r="X16" s="123"/>
      <c r="Y16" s="123"/>
      <c r="Z16" s="123"/>
      <c r="AA16" s="123"/>
      <c r="AB16" s="123"/>
      <c r="AC16" s="123"/>
      <c r="AD16" s="123"/>
      <c r="AE16" s="123"/>
      <c r="AF16" s="123"/>
    </row>
    <row r="17" spans="1:32" ht="16" customHeight="1">
      <c r="A17" s="119" t="s">
        <v>526</v>
      </c>
      <c r="B17" s="25" t="s">
        <v>547</v>
      </c>
      <c r="C17" s="65"/>
      <c r="E17" s="1"/>
      <c r="F17" s="1"/>
      <c r="G17" s="1"/>
      <c r="H17" s="1"/>
      <c r="I17" s="1"/>
      <c r="J17" s="1"/>
      <c r="K17" s="1"/>
      <c r="L17" s="1"/>
      <c r="M17" s="1"/>
      <c r="N17" s="1"/>
      <c r="O17" s="82"/>
      <c r="P17" s="82"/>
      <c r="V17" s="122"/>
      <c r="W17" s="122"/>
      <c r="X17" s="123"/>
      <c r="Y17" s="123"/>
      <c r="Z17" s="123"/>
      <c r="AA17" s="123"/>
      <c r="AB17" s="123"/>
      <c r="AC17" s="123"/>
      <c r="AD17" s="123"/>
      <c r="AE17" s="123"/>
      <c r="AF17" s="123"/>
    </row>
    <row r="18" spans="1:32" ht="16" customHeight="1">
      <c r="A18" s="119" t="s">
        <v>527</v>
      </c>
      <c r="B18" s="25" t="s">
        <v>548</v>
      </c>
      <c r="C18" s="65"/>
      <c r="E18" s="1"/>
      <c r="F18" s="1"/>
      <c r="G18" s="1"/>
      <c r="H18" s="1"/>
      <c r="I18" s="1"/>
      <c r="J18" s="1"/>
      <c r="K18" s="1"/>
      <c r="L18" s="1"/>
      <c r="M18" s="1"/>
      <c r="N18" s="1"/>
      <c r="O18" s="82"/>
      <c r="V18" s="122"/>
      <c r="W18" s="122"/>
      <c r="X18" s="123"/>
      <c r="Y18" s="123"/>
      <c r="Z18" s="123"/>
      <c r="AA18" s="123"/>
      <c r="AB18" s="123"/>
      <c r="AC18" s="123"/>
      <c r="AD18" s="123"/>
      <c r="AE18" s="123"/>
      <c r="AF18" s="123"/>
    </row>
    <row r="19" spans="1:32" ht="16" customHeight="1">
      <c r="A19" s="119" t="s">
        <v>528</v>
      </c>
      <c r="B19" s="25" t="s">
        <v>549</v>
      </c>
      <c r="C19" s="65"/>
      <c r="E19" s="1"/>
      <c r="F19" s="1"/>
      <c r="G19" s="1"/>
      <c r="H19" s="1"/>
      <c r="I19" s="1"/>
      <c r="J19" s="1"/>
      <c r="K19" s="1"/>
      <c r="L19" s="1"/>
      <c r="M19" s="1"/>
      <c r="N19" s="1"/>
      <c r="O19" s="82"/>
      <c r="P19" s="82"/>
      <c r="V19" s="122"/>
      <c r="W19" s="122"/>
      <c r="X19" s="123"/>
      <c r="Y19" s="123"/>
      <c r="Z19" s="123"/>
      <c r="AA19" s="123"/>
      <c r="AB19" s="123"/>
      <c r="AC19" s="123"/>
      <c r="AD19" s="123"/>
      <c r="AE19" s="123"/>
      <c r="AF19" s="123"/>
    </row>
    <row r="20" spans="1:32" ht="16" customHeight="1">
      <c r="A20" s="119" t="s">
        <v>531</v>
      </c>
      <c r="B20" s="25" t="s">
        <v>550</v>
      </c>
      <c r="C20" s="65"/>
      <c r="E20" s="1"/>
      <c r="F20" s="1"/>
      <c r="G20" s="1"/>
      <c r="H20" s="1"/>
      <c r="I20" s="1"/>
      <c r="J20" s="1"/>
      <c r="K20" s="1"/>
      <c r="L20" s="1"/>
      <c r="M20" s="1"/>
      <c r="N20" s="1"/>
      <c r="O20" s="82"/>
    </row>
    <row r="21" spans="1:32" ht="16" customHeight="1">
      <c r="A21" s="119" t="s">
        <v>532</v>
      </c>
      <c r="B21" s="25" t="s">
        <v>551</v>
      </c>
      <c r="C21" s="65"/>
      <c r="E21" s="1"/>
      <c r="F21" s="277"/>
      <c r="G21" s="277"/>
      <c r="H21" s="277"/>
      <c r="I21" s="277"/>
      <c r="J21" s="277"/>
      <c r="K21" s="56"/>
      <c r="L21" s="1"/>
      <c r="M21" s="1"/>
      <c r="N21" s="1"/>
      <c r="O21" s="82"/>
      <c r="P21" s="90"/>
      <c r="Q21" s="90"/>
      <c r="R21" s="90"/>
      <c r="S21" s="90"/>
      <c r="T21" s="90"/>
    </row>
    <row r="22" spans="1:32" ht="16" customHeight="1">
      <c r="A22" s="119" t="s">
        <v>534</v>
      </c>
      <c r="B22" s="25" t="s">
        <v>552</v>
      </c>
      <c r="C22" s="65"/>
      <c r="E22" s="1"/>
      <c r="F22" s="83"/>
      <c r="G22" s="83"/>
      <c r="H22" s="83"/>
      <c r="I22" s="83"/>
      <c r="J22" s="84"/>
      <c r="K22" s="84"/>
      <c r="L22" s="1"/>
      <c r="M22" s="1"/>
      <c r="N22" s="1"/>
      <c r="O22" s="82"/>
      <c r="Q22" s="59"/>
      <c r="S22" s="83"/>
      <c r="T22" s="83"/>
    </row>
    <row r="23" spans="1:32" ht="16" customHeight="1">
      <c r="A23" s="119" t="s">
        <v>533</v>
      </c>
      <c r="B23" s="25" t="s">
        <v>553</v>
      </c>
      <c r="C23" s="65"/>
      <c r="E23" s="1"/>
      <c r="F23" s="83"/>
      <c r="G23" s="83"/>
      <c r="H23" s="83"/>
      <c r="I23" s="83"/>
      <c r="J23" s="84"/>
      <c r="K23" s="84"/>
      <c r="L23" s="1"/>
      <c r="M23" s="1"/>
      <c r="N23" s="1"/>
      <c r="O23" s="82"/>
      <c r="Q23" s="59"/>
      <c r="S23" s="83"/>
      <c r="T23" s="83"/>
    </row>
    <row r="24" spans="1:32" ht="16" customHeight="1">
      <c r="A24" s="119" t="s">
        <v>523</v>
      </c>
      <c r="B24" s="25" t="s">
        <v>554</v>
      </c>
      <c r="C24" s="65"/>
      <c r="E24" s="1"/>
      <c r="F24" s="83"/>
      <c r="G24" s="83"/>
      <c r="H24" s="83"/>
      <c r="I24" s="83"/>
      <c r="J24" s="84"/>
      <c r="K24" s="84"/>
      <c r="L24" s="1"/>
      <c r="M24" s="1"/>
      <c r="N24" s="1"/>
      <c r="O24" s="82"/>
      <c r="Q24" s="59"/>
      <c r="S24" s="83"/>
      <c r="T24" s="83"/>
    </row>
    <row r="25" spans="1:32" ht="16" customHeight="1">
      <c r="A25" s="119" t="s">
        <v>529</v>
      </c>
      <c r="B25" s="25" t="s">
        <v>555</v>
      </c>
      <c r="C25" s="65"/>
      <c r="E25" s="1"/>
      <c r="F25" s="83"/>
      <c r="G25" s="83"/>
      <c r="H25" s="83"/>
      <c r="I25" s="83"/>
      <c r="J25" s="84"/>
      <c r="K25" s="84"/>
      <c r="L25" s="1"/>
      <c r="M25" s="1"/>
      <c r="N25" s="1"/>
      <c r="O25" s="82"/>
      <c r="Q25" s="59"/>
      <c r="S25" s="83"/>
      <c r="T25" s="83"/>
    </row>
    <row r="26" spans="1:32" ht="16" customHeight="1">
      <c r="A26" s="120" t="s">
        <v>535</v>
      </c>
      <c r="B26" s="26" t="s">
        <v>556</v>
      </c>
      <c r="C26" s="66"/>
      <c r="E26" s="1"/>
      <c r="F26" s="83"/>
      <c r="G26" s="83"/>
      <c r="H26" s="83"/>
      <c r="I26" s="83"/>
      <c r="J26" s="84"/>
      <c r="K26" s="84"/>
      <c r="L26" s="1"/>
      <c r="M26" s="1"/>
      <c r="N26" s="1"/>
      <c r="Q26" s="59"/>
      <c r="S26" s="83"/>
      <c r="T26" s="83"/>
    </row>
    <row r="27" spans="1:32" ht="16" customHeight="1">
      <c r="A27" s="120" t="s">
        <v>524</v>
      </c>
      <c r="B27" s="26" t="s">
        <v>557</v>
      </c>
      <c r="C27" s="66"/>
      <c r="E27" s="1"/>
      <c r="F27" s="83"/>
      <c r="G27" s="83"/>
      <c r="H27" s="83"/>
      <c r="I27" s="83"/>
      <c r="J27" s="84"/>
      <c r="K27" s="84"/>
      <c r="L27" s="1"/>
      <c r="M27" s="1"/>
      <c r="N27" s="1"/>
      <c r="Q27" s="59"/>
      <c r="S27" s="83"/>
      <c r="T27" s="83"/>
    </row>
    <row r="28" spans="1:32" ht="16" customHeight="1">
      <c r="E28" s="1"/>
      <c r="F28" s="58"/>
      <c r="G28" s="58"/>
      <c r="H28" s="58"/>
      <c r="I28" s="58"/>
      <c r="J28" s="59"/>
      <c r="K28" s="59"/>
      <c r="L28" s="59"/>
      <c r="M28" s="1"/>
      <c r="N28" s="1"/>
      <c r="Q28" s="59"/>
      <c r="S28" s="83"/>
      <c r="T28" s="83"/>
    </row>
    <row r="29" spans="1:32" ht="16" customHeight="1">
      <c r="D29" s="273" t="s">
        <v>892</v>
      </c>
      <c r="E29" s="273" t="s">
        <v>880</v>
      </c>
      <c r="F29" s="274" t="s">
        <v>537</v>
      </c>
      <c r="H29" s="77"/>
      <c r="J29" s="77"/>
      <c r="N29" s="1"/>
    </row>
    <row r="30" spans="1:32" ht="16" customHeight="1">
      <c r="E30" s="67" t="s">
        <v>869</v>
      </c>
      <c r="F30" s="67" t="s">
        <v>867</v>
      </c>
      <c r="G30" s="67" t="s">
        <v>875</v>
      </c>
      <c r="H30" s="67" t="s">
        <v>867</v>
      </c>
      <c r="I30" s="69" t="s">
        <v>876</v>
      </c>
      <c r="J30" s="67" t="s">
        <v>867</v>
      </c>
      <c r="N30" s="1"/>
      <c r="O30" s="82"/>
      <c r="P30" s="82"/>
    </row>
    <row r="31" spans="1:32" ht="16" customHeight="1">
      <c r="E31" s="71" t="s">
        <v>870</v>
      </c>
      <c r="F31" s="78">
        <v>1</v>
      </c>
      <c r="G31" s="71" t="s">
        <v>872</v>
      </c>
      <c r="H31" s="78">
        <v>1</v>
      </c>
      <c r="I31" s="72" t="s">
        <v>877</v>
      </c>
      <c r="J31" s="78">
        <v>1</v>
      </c>
      <c r="K31" s="90"/>
      <c r="L31" s="90"/>
      <c r="N31" s="1"/>
    </row>
    <row r="32" spans="1:32" ht="16" customHeight="1">
      <c r="E32" s="73" t="s">
        <v>871</v>
      </c>
      <c r="F32" s="79">
        <v>2</v>
      </c>
      <c r="G32" s="73" t="s">
        <v>873</v>
      </c>
      <c r="H32" s="79">
        <v>2</v>
      </c>
      <c r="I32" s="74" t="s">
        <v>878</v>
      </c>
      <c r="J32" s="79">
        <v>2</v>
      </c>
      <c r="K32" s="101"/>
      <c r="L32" s="51"/>
      <c r="N32" s="1"/>
      <c r="P32" s="90"/>
      <c r="Q32" s="90"/>
    </row>
    <row r="33" spans="4:16" ht="16" customHeight="1">
      <c r="E33" s="73"/>
      <c r="F33" s="79"/>
      <c r="G33" s="74" t="s">
        <v>886</v>
      </c>
      <c r="H33" s="79">
        <v>3</v>
      </c>
      <c r="I33" s="74" t="s">
        <v>887</v>
      </c>
      <c r="J33" s="79">
        <v>3</v>
      </c>
      <c r="K33" s="101"/>
      <c r="L33" s="51"/>
      <c r="N33" s="1"/>
      <c r="P33" s="82"/>
    </row>
    <row r="34" spans="4:16" ht="16" customHeight="1">
      <c r="E34" s="73"/>
      <c r="F34" s="79"/>
      <c r="G34" s="73" t="s">
        <v>874</v>
      </c>
      <c r="H34" s="79">
        <v>4</v>
      </c>
      <c r="I34" s="74" t="s">
        <v>879</v>
      </c>
      <c r="J34" s="79">
        <v>4</v>
      </c>
      <c r="K34" s="101"/>
      <c r="L34" s="51"/>
      <c r="N34" s="1"/>
      <c r="P34" s="82"/>
    </row>
    <row r="35" spans="4:16" ht="16" customHeight="1">
      <c r="E35" s="75"/>
      <c r="F35" s="80"/>
      <c r="G35" s="75"/>
      <c r="H35" s="80"/>
      <c r="I35" s="76"/>
      <c r="J35" s="80"/>
      <c r="K35" s="101"/>
      <c r="L35" s="51"/>
      <c r="N35" s="1"/>
      <c r="P35" s="82" t="s">
        <v>1377</v>
      </c>
    </row>
    <row r="36" spans="4:16" ht="16" customHeight="1">
      <c r="J36" s="102"/>
      <c r="K36" s="82"/>
      <c r="L36" s="51"/>
      <c r="N36" s="1"/>
    </row>
    <row r="37" spans="4:16" ht="16" customHeight="1">
      <c r="D37" s="273" t="s">
        <v>893</v>
      </c>
      <c r="E37" s="273" t="s">
        <v>896</v>
      </c>
      <c r="F37" s="274"/>
      <c r="H37" s="77"/>
      <c r="J37" s="77"/>
      <c r="N37" s="1"/>
      <c r="O37" s="82"/>
      <c r="P37" s="82"/>
    </row>
    <row r="38" spans="4:16" ht="16" customHeight="1">
      <c r="D38" s="68"/>
      <c r="E38" s="68"/>
      <c r="F38" s="85"/>
      <c r="G38" s="86"/>
      <c r="H38" s="85"/>
      <c r="J38" s="86"/>
      <c r="N38" s="1"/>
    </row>
    <row r="39" spans="4:16" ht="16" customHeight="1">
      <c r="D39" s="275" t="s">
        <v>894</v>
      </c>
      <c r="E39" s="276" t="s">
        <v>897</v>
      </c>
      <c r="F39" s="77"/>
      <c r="H39" s="77"/>
      <c r="J39" s="77"/>
      <c r="N39" s="1"/>
    </row>
    <row r="40" spans="4:16" ht="16" customHeight="1">
      <c r="H40" s="77"/>
      <c r="J40" s="77"/>
      <c r="N40" s="1"/>
    </row>
    <row r="41" spans="4:16" ht="16" customHeight="1">
      <c r="D41" s="273" t="s">
        <v>895</v>
      </c>
      <c r="E41" s="273" t="s">
        <v>868</v>
      </c>
      <c r="F41" s="274"/>
      <c r="H41" s="275" t="s">
        <v>905</v>
      </c>
      <c r="I41" s="273" t="s">
        <v>881</v>
      </c>
      <c r="J41" s="274"/>
      <c r="N41" s="1"/>
    </row>
    <row r="42" spans="4:16" ht="16" customHeight="1">
      <c r="D42" s="68"/>
      <c r="E42" s="67" t="s">
        <v>868</v>
      </c>
      <c r="F42" s="67" t="s">
        <v>867</v>
      </c>
      <c r="I42" s="69" t="s">
        <v>881</v>
      </c>
      <c r="J42" s="67" t="s">
        <v>867</v>
      </c>
      <c r="N42" s="1"/>
    </row>
    <row r="43" spans="4:16" ht="16" customHeight="1">
      <c r="D43" s="68"/>
      <c r="E43" s="71" t="s">
        <v>866</v>
      </c>
      <c r="F43" s="71">
        <v>32</v>
      </c>
      <c r="I43" s="72" t="s">
        <v>882</v>
      </c>
      <c r="J43" s="78">
        <v>1</v>
      </c>
      <c r="N43" s="1"/>
    </row>
    <row r="44" spans="4:16" ht="16" customHeight="1">
      <c r="D44" s="68"/>
      <c r="E44" s="71" t="s">
        <v>539</v>
      </c>
      <c r="F44" s="71">
        <v>34</v>
      </c>
      <c r="I44" s="74" t="s">
        <v>883</v>
      </c>
      <c r="J44" s="79">
        <v>2</v>
      </c>
      <c r="N44" s="1"/>
    </row>
    <row r="45" spans="4:16" ht="16" customHeight="1">
      <c r="D45" s="68"/>
      <c r="E45" s="71" t="s">
        <v>540</v>
      </c>
      <c r="F45" s="71">
        <v>36</v>
      </c>
      <c r="I45" s="74" t="s">
        <v>884</v>
      </c>
      <c r="J45" s="79">
        <v>3</v>
      </c>
      <c r="N45" s="1"/>
    </row>
    <row r="46" spans="4:16" ht="16" customHeight="1">
      <c r="D46" s="68"/>
      <c r="E46" s="71" t="s">
        <v>521</v>
      </c>
      <c r="F46" s="71">
        <v>38</v>
      </c>
      <c r="G46" s="90" t="s">
        <v>868</v>
      </c>
      <c r="I46" s="74" t="s">
        <v>885</v>
      </c>
      <c r="J46" s="79">
        <v>4</v>
      </c>
      <c r="N46" s="1"/>
    </row>
    <row r="47" spans="4:16" ht="16" customHeight="1">
      <c r="D47" s="68"/>
      <c r="E47" s="71" t="s">
        <v>541</v>
      </c>
      <c r="F47" s="71">
        <v>40</v>
      </c>
      <c r="G47" s="59"/>
      <c r="I47" s="76"/>
      <c r="J47" s="80"/>
      <c r="N47" s="1"/>
    </row>
    <row r="48" spans="4:16" ht="16" customHeight="1">
      <c r="E48" s="71" t="s">
        <v>542</v>
      </c>
      <c r="F48" s="71">
        <v>42</v>
      </c>
      <c r="G48" s="59"/>
      <c r="H48" s="83"/>
      <c r="I48" s="83"/>
      <c r="J48" s="77"/>
      <c r="N48" s="59"/>
    </row>
    <row r="49" spans="1:14" ht="16" customHeight="1">
      <c r="E49" s="70" t="s">
        <v>543</v>
      </c>
      <c r="F49" s="70">
        <v>44</v>
      </c>
      <c r="G49" s="59"/>
      <c r="H49" s="83"/>
      <c r="I49" s="83"/>
      <c r="J49" s="77"/>
      <c r="N49" s="59"/>
    </row>
    <row r="50" spans="1:14" ht="16" customHeight="1">
      <c r="G50" s="59"/>
      <c r="H50" s="83"/>
      <c r="I50" s="83"/>
      <c r="J50" s="77"/>
      <c r="N50" s="59"/>
    </row>
    <row r="51" spans="1:14" ht="16" customHeight="1">
      <c r="D51" s="273" t="s">
        <v>902</v>
      </c>
      <c r="E51" s="273" t="s">
        <v>898</v>
      </c>
      <c r="F51" s="274"/>
      <c r="H51" s="275" t="s">
        <v>906</v>
      </c>
      <c r="I51" s="273" t="s">
        <v>1629</v>
      </c>
      <c r="J51" s="274"/>
      <c r="N51" s="59"/>
    </row>
    <row r="52" spans="1:14" ht="16" customHeight="1">
      <c r="E52" s="67" t="s">
        <v>898</v>
      </c>
      <c r="F52" s="67" t="s">
        <v>867</v>
      </c>
      <c r="I52" s="69" t="s">
        <v>881</v>
      </c>
      <c r="J52" s="67" t="s">
        <v>867</v>
      </c>
      <c r="N52" s="59"/>
    </row>
    <row r="53" spans="1:14" ht="16" customHeight="1">
      <c r="E53" s="91" t="s">
        <v>899</v>
      </c>
      <c r="F53" s="78">
        <v>1</v>
      </c>
      <c r="I53" s="72" t="s">
        <v>1627</v>
      </c>
      <c r="J53" s="78">
        <v>1</v>
      </c>
      <c r="N53" s="59"/>
    </row>
    <row r="54" spans="1:14" ht="16" customHeight="1">
      <c r="E54" s="92" t="s">
        <v>900</v>
      </c>
      <c r="F54" s="79">
        <v>2</v>
      </c>
      <c r="I54" s="74" t="s">
        <v>1625</v>
      </c>
      <c r="J54" s="79">
        <v>2</v>
      </c>
      <c r="N54" s="59"/>
    </row>
    <row r="55" spans="1:14" ht="16" customHeight="1">
      <c r="E55" s="93" t="s">
        <v>901</v>
      </c>
      <c r="F55" s="80">
        <v>3</v>
      </c>
      <c r="I55" s="74" t="s">
        <v>1626</v>
      </c>
      <c r="J55" s="79">
        <v>3</v>
      </c>
      <c r="N55" s="59"/>
    </row>
    <row r="56" spans="1:14" ht="16" customHeight="1">
      <c r="E56" s="56"/>
      <c r="F56" s="61"/>
      <c r="I56" s="269" t="s">
        <v>1628</v>
      </c>
      <c r="J56" s="270">
        <v>4</v>
      </c>
      <c r="N56" s="59"/>
    </row>
    <row r="57" spans="1:14" ht="16" customHeight="1">
      <c r="D57" s="68"/>
      <c r="E57" s="68"/>
      <c r="F57" s="77"/>
      <c r="I57" s="271"/>
      <c r="J57" s="272"/>
      <c r="N57" s="59"/>
    </row>
    <row r="58" spans="1:14" ht="16" customHeight="1">
      <c r="J58" s="77"/>
      <c r="N58" s="59"/>
    </row>
    <row r="59" spans="1:14">
      <c r="J59" s="77"/>
      <c r="N59" s="62"/>
    </row>
    <row r="60" spans="1:14">
      <c r="J60" s="77"/>
      <c r="N60" s="59"/>
    </row>
    <row r="61" spans="1:14">
      <c r="H61" s="77"/>
      <c r="J61" s="77"/>
      <c r="N61" s="59"/>
    </row>
    <row r="62" spans="1:14">
      <c r="H62" s="77"/>
      <c r="J62" s="77"/>
      <c r="N62" s="59"/>
    </row>
    <row r="63" spans="1:14" ht="15.05">
      <c r="A63" s="18"/>
      <c r="G63" s="59"/>
      <c r="H63" s="59"/>
      <c r="I63" s="59"/>
      <c r="J63" s="59"/>
      <c r="K63" s="59"/>
      <c r="L63" s="59"/>
      <c r="M63" s="59"/>
      <c r="N63" s="59"/>
    </row>
    <row r="64" spans="1:14" ht="13.15">
      <c r="G64" s="56"/>
      <c r="H64" s="59"/>
      <c r="I64" s="59"/>
      <c r="J64" s="59"/>
      <c r="K64" s="59"/>
      <c r="L64" s="59"/>
      <c r="M64" s="59"/>
      <c r="N64" s="59"/>
    </row>
    <row r="65" spans="5:14">
      <c r="G65" s="61"/>
      <c r="H65" s="59"/>
      <c r="I65" s="59"/>
      <c r="J65" s="59"/>
      <c r="K65" s="59"/>
      <c r="L65" s="59"/>
      <c r="M65" s="59"/>
      <c r="N65" s="59"/>
    </row>
    <row r="66" spans="5:14">
      <c r="G66" s="61"/>
      <c r="H66" s="59"/>
      <c r="I66" s="59"/>
      <c r="J66" s="59"/>
      <c r="K66" s="59"/>
      <c r="L66" s="59"/>
      <c r="M66" s="59"/>
      <c r="N66" s="59"/>
    </row>
    <row r="67" spans="5:14">
      <c r="G67" s="61"/>
      <c r="H67" s="59"/>
      <c r="I67" s="59"/>
      <c r="J67" s="59"/>
      <c r="K67" s="59"/>
      <c r="L67" s="59"/>
      <c r="M67" s="59"/>
      <c r="N67" s="59"/>
    </row>
    <row r="68" spans="5:14" ht="13.15">
      <c r="G68" s="60"/>
      <c r="H68" s="59"/>
      <c r="I68" s="59"/>
      <c r="J68" s="59"/>
      <c r="K68" s="59"/>
      <c r="L68" s="59"/>
      <c r="M68" s="59"/>
      <c r="N68" s="59"/>
    </row>
    <row r="69" spans="5:14">
      <c r="G69" s="61"/>
      <c r="H69" s="59"/>
      <c r="I69" s="59"/>
      <c r="J69" s="59"/>
      <c r="K69" s="59"/>
      <c r="L69" s="59"/>
      <c r="M69" s="59"/>
      <c r="N69" s="59"/>
    </row>
    <row r="70" spans="5:14">
      <c r="G70" s="61"/>
      <c r="H70" s="59"/>
      <c r="I70" s="59"/>
      <c r="J70" s="59"/>
      <c r="K70" s="59"/>
      <c r="L70" s="59"/>
      <c r="M70" s="59"/>
      <c r="N70" s="59"/>
    </row>
    <row r="71" spans="5:14">
      <c r="E71" s="63"/>
      <c r="F71" s="61"/>
      <c r="G71" s="61"/>
      <c r="H71" s="59"/>
      <c r="I71" s="59"/>
      <c r="J71" s="59"/>
      <c r="K71" s="59"/>
      <c r="L71" s="59"/>
      <c r="M71" s="59"/>
      <c r="N71" s="59"/>
    </row>
    <row r="72" spans="5:14" ht="13.15">
      <c r="E72" s="56"/>
      <c r="F72" s="56"/>
      <c r="G72" s="56"/>
      <c r="H72" s="59"/>
      <c r="I72" s="59"/>
      <c r="J72" s="59"/>
      <c r="K72" s="59"/>
      <c r="L72" s="59"/>
      <c r="M72" s="59"/>
      <c r="N72" s="59"/>
    </row>
    <row r="73" spans="5:14" ht="13.15">
      <c r="E73" s="56"/>
      <c r="F73" s="60"/>
      <c r="G73" s="60"/>
      <c r="H73" s="59"/>
      <c r="I73" s="59"/>
      <c r="J73" s="59"/>
      <c r="K73" s="59"/>
      <c r="L73" s="59"/>
      <c r="M73" s="59"/>
      <c r="N73" s="59"/>
    </row>
    <row r="74" spans="5:14" ht="13.15">
      <c r="E74" s="56"/>
      <c r="F74" s="61"/>
      <c r="G74" s="61"/>
      <c r="H74" s="59"/>
      <c r="I74" s="59"/>
      <c r="J74" s="59"/>
      <c r="K74" s="59"/>
      <c r="L74" s="59"/>
      <c r="M74" s="59"/>
      <c r="N74" s="59"/>
    </row>
    <row r="75" spans="5:14">
      <c r="E75" s="59"/>
      <c r="F75" s="59"/>
      <c r="G75" s="59"/>
      <c r="H75" s="59"/>
      <c r="I75" s="59"/>
      <c r="J75" s="59"/>
      <c r="K75" s="59"/>
      <c r="L75" s="59"/>
      <c r="M75" s="59"/>
      <c r="N75" s="59"/>
    </row>
    <row r="76" spans="5:14">
      <c r="E76" s="59"/>
      <c r="F76" s="59"/>
      <c r="G76" s="59"/>
      <c r="H76" s="59"/>
      <c r="I76" s="59"/>
      <c r="J76" s="59"/>
      <c r="K76" s="59"/>
      <c r="L76" s="59"/>
      <c r="M76" s="59"/>
      <c r="N76" s="59"/>
    </row>
    <row r="77" spans="5:14">
      <c r="E77" s="59"/>
      <c r="F77" s="59"/>
      <c r="G77" s="59"/>
      <c r="H77" s="59"/>
      <c r="I77" s="59"/>
      <c r="J77" s="59"/>
      <c r="K77" s="59"/>
      <c r="L77" s="59"/>
      <c r="M77" s="59"/>
      <c r="N77" s="59"/>
    </row>
    <row r="78" spans="5:14">
      <c r="E78" s="59"/>
      <c r="F78" s="59"/>
      <c r="G78" s="59"/>
      <c r="H78" s="59"/>
      <c r="I78" s="59"/>
      <c r="J78" s="59"/>
      <c r="K78" s="59"/>
      <c r="L78" s="59"/>
      <c r="M78" s="59"/>
      <c r="N78" s="59"/>
    </row>
    <row r="79" spans="5:14">
      <c r="E79" s="59"/>
      <c r="F79" s="59"/>
      <c r="G79" s="59"/>
      <c r="H79" s="59"/>
      <c r="I79" s="59"/>
      <c r="J79" s="59"/>
      <c r="K79" s="59"/>
      <c r="L79" s="59"/>
      <c r="M79" s="59"/>
      <c r="N79" s="59"/>
    </row>
    <row r="80" spans="5:14">
      <c r="E80" s="59"/>
      <c r="F80" s="59"/>
      <c r="G80" s="59"/>
      <c r="H80" s="59"/>
      <c r="I80" s="59"/>
      <c r="J80" s="59"/>
      <c r="K80" s="59"/>
      <c r="L80" s="59"/>
      <c r="M80" s="59"/>
      <c r="N80" s="59"/>
    </row>
    <row r="81" spans="5:14">
      <c r="E81" s="59"/>
      <c r="F81" s="59"/>
      <c r="G81" s="59"/>
      <c r="H81" s="59"/>
      <c r="I81" s="59"/>
      <c r="J81" s="59"/>
      <c r="K81" s="59"/>
      <c r="L81" s="59"/>
      <c r="M81" s="59"/>
      <c r="N81" s="59"/>
    </row>
    <row r="82" spans="5:14">
      <c r="E82" s="59"/>
      <c r="F82" s="59"/>
      <c r="G82" s="59"/>
      <c r="H82" s="59"/>
      <c r="I82" s="59"/>
      <c r="J82" s="59"/>
      <c r="K82" s="59"/>
      <c r="L82" s="59"/>
      <c r="M82" s="59"/>
      <c r="N82" s="59"/>
    </row>
    <row r="83" spans="5:14">
      <c r="E83" s="59"/>
      <c r="F83" s="59"/>
      <c r="G83" s="59"/>
      <c r="H83" s="59"/>
      <c r="I83" s="59"/>
      <c r="J83" s="59"/>
      <c r="K83" s="59"/>
      <c r="L83" s="59"/>
      <c r="M83" s="59"/>
      <c r="N83" s="59"/>
    </row>
    <row r="84" spans="5:14">
      <c r="E84" s="59"/>
      <c r="F84" s="59"/>
      <c r="G84" s="59"/>
      <c r="H84" s="59"/>
      <c r="I84" s="59"/>
      <c r="J84" s="59"/>
      <c r="K84" s="59"/>
      <c r="L84" s="59"/>
      <c r="M84" s="59"/>
      <c r="N84" s="59"/>
    </row>
    <row r="85" spans="5:14">
      <c r="E85" s="59"/>
      <c r="F85" s="59"/>
      <c r="G85" s="59"/>
      <c r="H85" s="59"/>
      <c r="I85" s="59"/>
      <c r="J85" s="59"/>
      <c r="K85" s="59"/>
      <c r="L85" s="59"/>
      <c r="M85" s="59"/>
      <c r="N85" s="59"/>
    </row>
    <row r="86" spans="5:14">
      <c r="E86" s="59"/>
      <c r="F86" s="59"/>
      <c r="G86" s="59"/>
      <c r="H86" s="59"/>
      <c r="I86" s="59"/>
      <c r="J86" s="59"/>
      <c r="K86" s="59"/>
      <c r="L86" s="59"/>
      <c r="M86" s="59"/>
      <c r="N86" s="59"/>
    </row>
    <row r="87" spans="5:14">
      <c r="E87" s="59"/>
      <c r="F87" s="59"/>
      <c r="G87" s="59"/>
      <c r="H87" s="59"/>
      <c r="I87" s="59"/>
      <c r="J87" s="59"/>
      <c r="K87" s="59"/>
      <c r="L87" s="59"/>
      <c r="M87" s="59"/>
      <c r="N87" s="59"/>
    </row>
    <row r="88" spans="5:14">
      <c r="E88" s="59"/>
      <c r="F88" s="59"/>
      <c r="G88" s="59"/>
      <c r="H88" s="59"/>
      <c r="I88" s="59"/>
      <c r="J88" s="59"/>
      <c r="K88" s="59"/>
      <c r="L88" s="59"/>
      <c r="M88" s="59"/>
      <c r="N88" s="59"/>
    </row>
    <row r="89" spans="5:14">
      <c r="E89" s="59"/>
      <c r="F89" s="59"/>
      <c r="G89" s="59"/>
      <c r="H89" s="59"/>
      <c r="I89" s="59"/>
      <c r="J89" s="59"/>
      <c r="K89" s="59"/>
      <c r="L89" s="59"/>
      <c r="M89" s="59"/>
      <c r="N89" s="59"/>
    </row>
    <row r="90" spans="5:14">
      <c r="E90" s="59"/>
      <c r="F90" s="59"/>
      <c r="G90" s="59"/>
      <c r="H90" s="59"/>
      <c r="I90" s="59"/>
      <c r="J90" s="59"/>
      <c r="K90" s="59"/>
      <c r="L90" s="59"/>
      <c r="M90" s="59"/>
      <c r="N90" s="59"/>
    </row>
    <row r="91" spans="5:14">
      <c r="E91" s="59"/>
      <c r="F91" s="59"/>
      <c r="G91" s="59"/>
      <c r="H91" s="59"/>
      <c r="I91" s="59"/>
      <c r="J91" s="59"/>
      <c r="K91" s="59"/>
      <c r="L91" s="59"/>
      <c r="M91" s="59"/>
      <c r="N91" s="59"/>
    </row>
    <row r="92" spans="5:14">
      <c r="E92" s="59"/>
      <c r="F92" s="59"/>
      <c r="G92" s="59"/>
      <c r="H92" s="59"/>
      <c r="I92" s="59"/>
      <c r="J92" s="59"/>
      <c r="K92" s="59"/>
      <c r="L92" s="59"/>
      <c r="M92" s="59"/>
      <c r="N92" s="59"/>
    </row>
    <row r="93" spans="5:14">
      <c r="E93" s="59"/>
      <c r="F93" s="59"/>
      <c r="G93" s="59"/>
      <c r="H93" s="59"/>
      <c r="I93" s="59"/>
      <c r="J93" s="59"/>
      <c r="K93" s="59"/>
      <c r="L93" s="59"/>
      <c r="M93" s="59"/>
      <c r="N93" s="59"/>
    </row>
    <row r="94" spans="5:14">
      <c r="E94" s="59"/>
      <c r="F94" s="59"/>
      <c r="G94" s="59"/>
      <c r="H94" s="59"/>
      <c r="I94" s="59"/>
      <c r="J94" s="59"/>
      <c r="K94" s="59"/>
      <c r="L94" s="59"/>
      <c r="M94" s="59"/>
      <c r="N94" s="59"/>
    </row>
    <row r="95" spans="5:14">
      <c r="E95" s="59"/>
      <c r="F95" s="59"/>
      <c r="G95" s="59"/>
      <c r="H95" s="59"/>
      <c r="I95" s="59"/>
      <c r="J95" s="59"/>
      <c r="K95" s="59"/>
      <c r="L95" s="59"/>
      <c r="M95" s="59"/>
      <c r="N95" s="59"/>
    </row>
    <row r="96" spans="5:14">
      <c r="E96" s="59"/>
      <c r="F96" s="59"/>
      <c r="G96" s="59"/>
      <c r="H96" s="59"/>
      <c r="I96" s="59"/>
      <c r="J96" s="59"/>
      <c r="K96" s="59"/>
      <c r="L96" s="59"/>
      <c r="M96" s="59"/>
      <c r="N96" s="59"/>
    </row>
    <row r="97" spans="5:14">
      <c r="E97" s="59"/>
      <c r="F97" s="59"/>
      <c r="G97" s="59"/>
      <c r="H97" s="59"/>
      <c r="I97" s="59"/>
      <c r="J97" s="59"/>
      <c r="K97" s="59"/>
      <c r="L97" s="59"/>
      <c r="M97" s="59"/>
      <c r="N97" s="59"/>
    </row>
    <row r="98" spans="5:14">
      <c r="E98" s="59"/>
      <c r="F98" s="59"/>
      <c r="G98" s="59"/>
      <c r="H98" s="59"/>
      <c r="I98" s="59"/>
      <c r="J98" s="59"/>
      <c r="K98" s="59"/>
      <c r="L98" s="59"/>
      <c r="M98" s="59"/>
      <c r="N98" s="59"/>
    </row>
    <row r="99" spans="5:14">
      <c r="E99" s="59"/>
      <c r="F99" s="59"/>
      <c r="G99" s="59"/>
      <c r="H99" s="59"/>
      <c r="I99" s="59"/>
      <c r="J99" s="59"/>
      <c r="K99" s="59"/>
      <c r="L99" s="59"/>
      <c r="M99" s="59"/>
      <c r="N99" s="59"/>
    </row>
    <row r="100" spans="5:14">
      <c r="E100" s="59"/>
      <c r="F100" s="59"/>
      <c r="G100" s="59"/>
      <c r="H100" s="59"/>
      <c r="I100" s="59"/>
      <c r="J100" s="59"/>
      <c r="K100" s="59"/>
      <c r="L100" s="59"/>
      <c r="M100" s="59"/>
      <c r="N100" s="59"/>
    </row>
    <row r="101" spans="5:14">
      <c r="E101" s="59"/>
      <c r="F101" s="59"/>
      <c r="G101" s="59"/>
      <c r="H101" s="59"/>
      <c r="I101" s="59"/>
      <c r="J101" s="59"/>
      <c r="K101" s="59"/>
      <c r="L101" s="59"/>
      <c r="M101" s="59"/>
      <c r="N101" s="59"/>
    </row>
    <row r="102" spans="5:14">
      <c r="E102" s="59"/>
      <c r="F102" s="59"/>
      <c r="G102" s="59"/>
      <c r="H102" s="59"/>
      <c r="I102" s="59"/>
      <c r="J102" s="59"/>
      <c r="K102" s="59"/>
      <c r="L102" s="59"/>
      <c r="M102" s="59"/>
      <c r="N102" s="59"/>
    </row>
    <row r="103" spans="5:14">
      <c r="E103" s="59"/>
      <c r="F103" s="59"/>
      <c r="G103" s="59"/>
      <c r="H103" s="59"/>
      <c r="I103" s="59"/>
      <c r="J103" s="59"/>
      <c r="K103" s="59"/>
      <c r="L103" s="59"/>
      <c r="M103" s="59"/>
      <c r="N103" s="59"/>
    </row>
    <row r="104" spans="5:14">
      <c r="E104" s="59"/>
      <c r="F104" s="59"/>
      <c r="G104" s="59"/>
      <c r="H104" s="59"/>
      <c r="I104" s="59"/>
      <c r="J104" s="59"/>
      <c r="K104" s="59"/>
      <c r="L104" s="59"/>
      <c r="M104" s="59"/>
      <c r="N104" s="59"/>
    </row>
    <row r="105" spans="5:14">
      <c r="E105" s="59"/>
      <c r="F105" s="59"/>
      <c r="G105" s="59"/>
      <c r="H105" s="59"/>
      <c r="I105" s="59"/>
      <c r="J105" s="59"/>
      <c r="K105" s="59"/>
      <c r="L105" s="59"/>
      <c r="M105" s="59"/>
      <c r="N105" s="59"/>
    </row>
    <row r="106" spans="5:14">
      <c r="E106" s="59"/>
      <c r="F106" s="59"/>
      <c r="G106" s="59"/>
      <c r="H106" s="59"/>
      <c r="I106" s="59"/>
      <c r="J106" s="59"/>
      <c r="K106" s="59"/>
      <c r="L106" s="59"/>
      <c r="M106" s="59"/>
      <c r="N106" s="59"/>
    </row>
    <row r="107" spans="5:14">
      <c r="E107" s="59"/>
      <c r="F107" s="59"/>
      <c r="G107" s="59"/>
      <c r="H107" s="59"/>
      <c r="I107" s="59"/>
      <c r="J107" s="59"/>
      <c r="K107" s="59"/>
      <c r="L107" s="59"/>
      <c r="M107" s="59"/>
      <c r="N107" s="59"/>
    </row>
    <row r="108" spans="5:14">
      <c r="E108" s="59"/>
      <c r="F108" s="59"/>
      <c r="G108" s="59"/>
      <c r="H108" s="59"/>
      <c r="I108" s="59"/>
      <c r="J108" s="59"/>
      <c r="K108" s="59"/>
      <c r="L108" s="59"/>
      <c r="M108" s="59"/>
      <c r="N108" s="59"/>
    </row>
    <row r="109" spans="5:14">
      <c r="E109" s="59"/>
      <c r="F109" s="59"/>
      <c r="G109" s="59"/>
      <c r="H109" s="59"/>
      <c r="I109" s="59"/>
      <c r="J109" s="59"/>
      <c r="K109" s="59"/>
      <c r="L109" s="59"/>
      <c r="M109" s="59"/>
      <c r="N109" s="59"/>
    </row>
    <row r="110" spans="5:14">
      <c r="E110" s="59"/>
      <c r="F110" s="59"/>
      <c r="G110" s="59"/>
      <c r="H110" s="59"/>
      <c r="I110" s="59"/>
      <c r="J110" s="59"/>
      <c r="K110" s="59"/>
      <c r="L110" s="59"/>
      <c r="M110" s="59"/>
      <c r="N110" s="59"/>
    </row>
    <row r="111" spans="5:14">
      <c r="E111" s="59"/>
      <c r="F111" s="59"/>
      <c r="G111" s="59"/>
      <c r="H111" s="59"/>
      <c r="I111" s="59"/>
      <c r="J111" s="59"/>
      <c r="K111" s="59"/>
      <c r="L111" s="59"/>
      <c r="M111" s="59"/>
      <c r="N111" s="59"/>
    </row>
    <row r="112" spans="5:14">
      <c r="E112" s="59"/>
      <c r="F112" s="59"/>
      <c r="G112" s="59"/>
      <c r="H112" s="59"/>
      <c r="I112" s="59"/>
      <c r="J112" s="59"/>
      <c r="K112" s="59"/>
      <c r="L112" s="59"/>
      <c r="M112" s="59"/>
      <c r="N112" s="59"/>
    </row>
    <row r="113" spans="5:14">
      <c r="E113" s="59"/>
      <c r="F113" s="59"/>
      <c r="G113" s="59"/>
      <c r="H113" s="59"/>
      <c r="I113" s="59"/>
      <c r="J113" s="59"/>
      <c r="K113" s="59"/>
      <c r="L113" s="59"/>
      <c r="M113" s="59"/>
      <c r="N113" s="59"/>
    </row>
    <row r="114" spans="5:14">
      <c r="E114" s="59"/>
      <c r="F114" s="59"/>
      <c r="G114" s="59"/>
      <c r="H114" s="59"/>
      <c r="I114" s="59"/>
      <c r="J114" s="59"/>
      <c r="K114" s="59"/>
      <c r="L114" s="59"/>
      <c r="M114" s="59"/>
      <c r="N114" s="59"/>
    </row>
    <row r="115" spans="5:14">
      <c r="E115" s="59"/>
      <c r="F115" s="59"/>
      <c r="G115" s="59"/>
      <c r="H115" s="59"/>
      <c r="I115" s="59"/>
      <c r="J115" s="59"/>
      <c r="K115" s="59"/>
      <c r="L115" s="59"/>
      <c r="M115" s="59"/>
      <c r="N115" s="59"/>
    </row>
    <row r="116" spans="5:14">
      <c r="E116" s="59"/>
      <c r="F116" s="59"/>
      <c r="G116" s="59"/>
      <c r="H116" s="59"/>
      <c r="I116" s="59"/>
      <c r="J116" s="59"/>
      <c r="K116" s="59"/>
      <c r="L116" s="59"/>
      <c r="M116" s="59"/>
      <c r="N116" s="59"/>
    </row>
    <row r="117" spans="5:14">
      <c r="E117" s="59"/>
      <c r="F117" s="59"/>
      <c r="G117" s="59"/>
      <c r="H117" s="59"/>
      <c r="I117" s="59"/>
      <c r="J117" s="59"/>
      <c r="K117" s="59"/>
      <c r="L117" s="59"/>
      <c r="M117" s="59"/>
      <c r="N117" s="59"/>
    </row>
    <row r="118" spans="5:14">
      <c r="E118" s="59"/>
      <c r="F118" s="59"/>
      <c r="G118" s="59"/>
      <c r="H118" s="59"/>
      <c r="I118" s="59"/>
      <c r="J118" s="59"/>
      <c r="K118" s="59"/>
      <c r="L118" s="59"/>
      <c r="M118" s="59"/>
      <c r="N118" s="59"/>
    </row>
    <row r="119" spans="5:14">
      <c r="E119" s="59"/>
      <c r="F119" s="59"/>
      <c r="G119" s="59"/>
      <c r="H119" s="59"/>
      <c r="I119" s="59"/>
      <c r="J119" s="59"/>
      <c r="K119" s="59"/>
      <c r="L119" s="59"/>
      <c r="M119" s="59"/>
      <c r="N119" s="59"/>
    </row>
    <row r="120" spans="5:14">
      <c r="E120" s="59"/>
      <c r="F120" s="59"/>
      <c r="G120" s="59"/>
      <c r="H120" s="59"/>
      <c r="I120" s="59"/>
      <c r="J120" s="59"/>
      <c r="K120" s="59"/>
      <c r="L120" s="59"/>
      <c r="M120" s="59"/>
      <c r="N120" s="59"/>
    </row>
    <row r="121" spans="5:14">
      <c r="E121" s="59"/>
      <c r="F121" s="59"/>
      <c r="G121" s="59"/>
      <c r="H121" s="59"/>
      <c r="I121" s="59"/>
      <c r="J121" s="59"/>
      <c r="K121" s="59"/>
      <c r="L121" s="59"/>
      <c r="M121" s="59"/>
      <c r="N121" s="59"/>
    </row>
    <row r="122" spans="5:14">
      <c r="E122" s="59"/>
      <c r="F122" s="59"/>
      <c r="G122" s="59"/>
      <c r="H122" s="59"/>
      <c r="I122" s="59"/>
      <c r="J122" s="59"/>
      <c r="K122" s="59"/>
      <c r="L122" s="59"/>
      <c r="M122" s="59"/>
      <c r="N122" s="59"/>
    </row>
    <row r="123" spans="5:14">
      <c r="E123" s="59"/>
      <c r="F123" s="59"/>
      <c r="G123" s="59"/>
      <c r="H123" s="59"/>
      <c r="I123" s="59"/>
      <c r="J123" s="59"/>
      <c r="K123" s="59"/>
      <c r="L123" s="59"/>
      <c r="M123" s="59"/>
      <c r="N123" s="59"/>
    </row>
  </sheetData>
  <mergeCells count="4">
    <mergeCell ref="F21:J21"/>
    <mergeCell ref="A1:L1"/>
    <mergeCell ref="E4:O4"/>
    <mergeCell ref="A12:B12"/>
  </mergeCells>
  <printOptions horizontalCentered="1" verticalCentered="1"/>
  <pageMargins left="0.19685039370078741" right="0.19685039370078741" top="0.74803149606299213" bottom="0.39370078740157483" header="0" footer="0"/>
  <pageSetup paperSize="9" scale="8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R27"/>
  <sheetViews>
    <sheetView topLeftCell="L4" workbookViewId="0">
      <selection activeCell="Q18" sqref="Q18:Q21"/>
    </sheetView>
  </sheetViews>
  <sheetFormatPr baseColWidth="10" defaultRowHeight="12.55"/>
  <cols>
    <col min="1" max="9" width="12.88671875" customWidth="1"/>
    <col min="10" max="10" width="2.5546875" customWidth="1"/>
    <col min="11" max="11" width="20.5546875" customWidth="1"/>
    <col min="13" max="16" width="10.5546875" customWidth="1"/>
    <col min="17" max="17" width="16" customWidth="1"/>
    <col min="18" max="18" width="13.77734375" customWidth="1"/>
  </cols>
  <sheetData>
    <row r="1" spans="1:18" ht="20.05" customHeight="1">
      <c r="A1" s="121" t="s">
        <v>1374</v>
      </c>
      <c r="B1" s="121" t="s">
        <v>1375</v>
      </c>
      <c r="C1" s="121" t="s">
        <v>1376</v>
      </c>
      <c r="D1" s="121" t="s">
        <v>889</v>
      </c>
      <c r="E1" s="121" t="s">
        <v>890</v>
      </c>
      <c r="F1" s="121" t="s">
        <v>520</v>
      </c>
      <c r="G1" s="121" t="s">
        <v>904</v>
      </c>
      <c r="H1" s="121" t="s">
        <v>545</v>
      </c>
      <c r="I1" s="121" t="s">
        <v>891</v>
      </c>
      <c r="K1" s="121" t="s">
        <v>1032</v>
      </c>
      <c r="M1" s="67" t="s">
        <v>869</v>
      </c>
      <c r="N1" s="67" t="s">
        <v>1379</v>
      </c>
      <c r="O1" s="67" t="s">
        <v>875</v>
      </c>
      <c r="P1" s="67" t="s">
        <v>1380</v>
      </c>
      <c r="Q1" s="69" t="s">
        <v>876</v>
      </c>
      <c r="R1" s="67" t="s">
        <v>867</v>
      </c>
    </row>
    <row r="2" spans="1:18" ht="14.4">
      <c r="A2" s="122">
        <v>2</v>
      </c>
      <c r="B2" s="122">
        <v>4</v>
      </c>
      <c r="C2" s="123">
        <v>1</v>
      </c>
      <c r="D2" s="123">
        <v>289</v>
      </c>
      <c r="E2" s="128">
        <v>19</v>
      </c>
      <c r="F2" s="123">
        <v>36</v>
      </c>
      <c r="G2" s="123">
        <v>1</v>
      </c>
      <c r="H2" s="123">
        <v>1</v>
      </c>
      <c r="I2" s="123"/>
      <c r="J2" s="123"/>
      <c r="K2" s="125" t="str">
        <f>(A2&amp;B2&amp;C2&amp;D2&amp;E2&amp;F2&amp;G2&amp;H2&amp;I2)</f>
        <v>241289193611</v>
      </c>
      <c r="M2" s="71" t="s">
        <v>870</v>
      </c>
      <c r="N2" s="78">
        <v>1</v>
      </c>
      <c r="O2" s="71" t="s">
        <v>872</v>
      </c>
      <c r="P2" s="78">
        <v>1</v>
      </c>
      <c r="Q2" s="72" t="s">
        <v>877</v>
      </c>
      <c r="R2" s="78">
        <v>1</v>
      </c>
    </row>
    <row r="3" spans="1:18">
      <c r="M3" s="73" t="s">
        <v>871</v>
      </c>
      <c r="N3" s="79">
        <v>2</v>
      </c>
      <c r="O3" s="73" t="s">
        <v>873</v>
      </c>
      <c r="P3" s="79">
        <v>2</v>
      </c>
      <c r="Q3" s="74" t="s">
        <v>878</v>
      </c>
      <c r="R3" s="79">
        <v>2</v>
      </c>
    </row>
    <row r="4" spans="1:18">
      <c r="M4" s="73"/>
      <c r="N4" s="79"/>
      <c r="O4" s="74" t="s">
        <v>886</v>
      </c>
      <c r="P4" s="79">
        <v>3</v>
      </c>
      <c r="Q4" s="74" t="s">
        <v>887</v>
      </c>
      <c r="R4" s="79">
        <v>3</v>
      </c>
    </row>
    <row r="5" spans="1:18">
      <c r="M5" s="73"/>
      <c r="N5" s="79"/>
      <c r="O5" s="73" t="s">
        <v>874</v>
      </c>
      <c r="P5" s="79">
        <v>4</v>
      </c>
      <c r="Q5" s="74" t="s">
        <v>1381</v>
      </c>
      <c r="R5" s="79">
        <v>4</v>
      </c>
    </row>
    <row r="6" spans="1:18">
      <c r="M6" s="75"/>
      <c r="N6" s="80"/>
      <c r="O6" s="75"/>
      <c r="P6" s="80"/>
      <c r="Q6" s="76"/>
      <c r="R6" s="80"/>
    </row>
    <row r="8" spans="1:18">
      <c r="M8" s="67" t="s">
        <v>868</v>
      </c>
      <c r="N8" s="67" t="s">
        <v>867</v>
      </c>
      <c r="Q8" s="69" t="s">
        <v>881</v>
      </c>
      <c r="R8" s="67" t="s">
        <v>867</v>
      </c>
    </row>
    <row r="9" spans="1:18">
      <c r="M9" s="71" t="s">
        <v>866</v>
      </c>
      <c r="N9" s="71">
        <v>32</v>
      </c>
      <c r="Q9" s="72" t="s">
        <v>882</v>
      </c>
      <c r="R9" s="78">
        <v>1</v>
      </c>
    </row>
    <row r="10" spans="1:18">
      <c r="M10" s="71" t="s">
        <v>539</v>
      </c>
      <c r="N10" s="71">
        <v>34</v>
      </c>
      <c r="Q10" s="74" t="s">
        <v>883</v>
      </c>
      <c r="R10" s="79">
        <v>2</v>
      </c>
    </row>
    <row r="11" spans="1:18">
      <c r="M11" s="71" t="s">
        <v>540</v>
      </c>
      <c r="N11" s="71">
        <v>36</v>
      </c>
      <c r="Q11" s="74" t="s">
        <v>1382</v>
      </c>
      <c r="R11" s="79">
        <v>3</v>
      </c>
    </row>
    <row r="12" spans="1:18">
      <c r="M12" s="71" t="s">
        <v>521</v>
      </c>
      <c r="N12" s="71">
        <v>38</v>
      </c>
      <c r="Q12" s="74" t="s">
        <v>885</v>
      </c>
      <c r="R12" s="79">
        <v>4</v>
      </c>
    </row>
    <row r="13" spans="1:18">
      <c r="M13" s="71" t="s">
        <v>541</v>
      </c>
      <c r="N13" s="71">
        <v>40</v>
      </c>
      <c r="Q13" s="76"/>
      <c r="R13" s="80"/>
    </row>
    <row r="14" spans="1:18">
      <c r="M14" s="71" t="s">
        <v>542</v>
      </c>
      <c r="N14" s="71">
        <v>42</v>
      </c>
    </row>
    <row r="15" spans="1:18">
      <c r="M15" s="70" t="s">
        <v>543</v>
      </c>
      <c r="N15" s="70">
        <v>44</v>
      </c>
    </row>
    <row r="17" spans="13:18">
      <c r="M17" s="67" t="s">
        <v>898</v>
      </c>
      <c r="N17" s="67" t="s">
        <v>867</v>
      </c>
      <c r="Q17" s="67" t="s">
        <v>1384</v>
      </c>
      <c r="R17" s="67" t="s">
        <v>1032</v>
      </c>
    </row>
    <row r="18" spans="13:18" ht="14.4">
      <c r="M18" s="91" t="s">
        <v>899</v>
      </c>
      <c r="N18" s="78">
        <v>1</v>
      </c>
      <c r="Q18" s="123" t="s">
        <v>1385</v>
      </c>
    </row>
    <row r="19" spans="13:18" ht="14.4">
      <c r="M19" s="92" t="s">
        <v>900</v>
      </c>
      <c r="N19" s="79">
        <v>2</v>
      </c>
      <c r="Q19" s="123" t="s">
        <v>1386</v>
      </c>
    </row>
    <row r="20" spans="13:18" ht="14.4">
      <c r="M20" s="93" t="s">
        <v>901</v>
      </c>
      <c r="N20" s="80">
        <v>3</v>
      </c>
      <c r="Q20" s="123" t="s">
        <v>1387</v>
      </c>
    </row>
    <row r="21" spans="13:18" ht="14.4">
      <c r="Q21" s="123" t="s">
        <v>1388</v>
      </c>
    </row>
    <row r="23" spans="13:18" ht="15.65" customHeight="1">
      <c r="M23" s="282" t="s">
        <v>1391</v>
      </c>
      <c r="N23" s="282"/>
      <c r="O23" s="123">
        <v>289</v>
      </c>
      <c r="Q23" s="67" t="s">
        <v>890</v>
      </c>
    </row>
    <row r="24" spans="13:18">
      <c r="Q24">
        <v>2017</v>
      </c>
    </row>
    <row r="25" spans="13:18">
      <c r="Q25">
        <v>2018</v>
      </c>
    </row>
    <row r="26" spans="13:18">
      <c r="Q26">
        <v>2019</v>
      </c>
    </row>
    <row r="27" spans="13:18">
      <c r="Q27">
        <v>2020</v>
      </c>
    </row>
  </sheetData>
  <mergeCells count="1">
    <mergeCell ref="M23:N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R762"/>
  <sheetViews>
    <sheetView tabSelected="1" workbookViewId="0">
      <selection sqref="A1:L3"/>
    </sheetView>
  </sheetViews>
  <sheetFormatPr baseColWidth="10" defaultRowHeight="12.55"/>
  <cols>
    <col min="1" max="1" width="13.33203125" style="164" customWidth="1"/>
    <col min="2" max="2" width="14.44140625" style="165" customWidth="1"/>
    <col min="3" max="3" width="12.5546875" style="165" customWidth="1"/>
    <col min="4" max="4" width="12.77734375" style="165" customWidth="1"/>
    <col min="5" max="5" width="11.5546875" style="164"/>
    <col min="6" max="6" width="15.77734375" style="165" customWidth="1"/>
    <col min="7" max="7" width="11.5546875" style="165"/>
    <col min="8" max="9" width="11.5546875" style="164"/>
    <col min="10" max="10" width="24.88671875" style="68" customWidth="1"/>
    <col min="11" max="11" width="18.21875" style="68" customWidth="1"/>
    <col min="12" max="12" width="17.6640625" style="165" customWidth="1"/>
    <col min="13" max="13" width="18.6640625" style="165" customWidth="1"/>
    <col min="14" max="14" width="17.6640625" style="165" customWidth="1"/>
    <col min="15" max="15" width="20.88671875" style="165" customWidth="1"/>
    <col min="16" max="16" width="17.6640625" style="165" customWidth="1"/>
    <col min="17" max="17" width="20.44140625" style="165" customWidth="1"/>
    <col min="18" max="18" width="62.44140625" style="177" customWidth="1"/>
  </cols>
  <sheetData>
    <row r="1" spans="1:18" s="136" customFormat="1" ht="20.05" customHeight="1">
      <c r="A1" s="135" t="s">
        <v>889</v>
      </c>
      <c r="B1" s="158" t="s">
        <v>1374</v>
      </c>
      <c r="C1" s="158" t="s">
        <v>1375</v>
      </c>
      <c r="D1" s="158" t="s">
        <v>1376</v>
      </c>
      <c r="E1" s="135" t="s">
        <v>520</v>
      </c>
      <c r="F1" s="158" t="s">
        <v>904</v>
      </c>
      <c r="G1" s="158" t="s">
        <v>545</v>
      </c>
      <c r="H1" s="135" t="s">
        <v>1383</v>
      </c>
      <c r="I1" s="135" t="s">
        <v>890</v>
      </c>
      <c r="J1" s="135" t="s">
        <v>1384</v>
      </c>
      <c r="K1" s="135" t="s">
        <v>1032</v>
      </c>
      <c r="L1" s="135" t="s">
        <v>1400</v>
      </c>
      <c r="M1" s="158" t="s">
        <v>1397</v>
      </c>
      <c r="N1" s="135" t="s">
        <v>1401</v>
      </c>
      <c r="O1" s="158" t="s">
        <v>1402</v>
      </c>
      <c r="P1" s="135" t="s">
        <v>1404</v>
      </c>
      <c r="Q1" s="135" t="s">
        <v>1403</v>
      </c>
      <c r="R1" s="135" t="s">
        <v>1390</v>
      </c>
    </row>
    <row r="2" spans="1:18" s="149" customFormat="1" ht="20.05" customHeight="1">
      <c r="A2" s="161">
        <v>299</v>
      </c>
      <c r="B2" s="154" t="s">
        <v>871</v>
      </c>
      <c r="C2" s="154" t="s">
        <v>874</v>
      </c>
      <c r="D2" s="154" t="s">
        <v>877</v>
      </c>
      <c r="E2" s="148" t="s">
        <v>540</v>
      </c>
      <c r="F2" s="154" t="s">
        <v>883</v>
      </c>
      <c r="G2" s="154" t="s">
        <v>899</v>
      </c>
      <c r="H2" s="180">
        <v>43528</v>
      </c>
      <c r="I2" s="148">
        <v>2019</v>
      </c>
      <c r="J2" s="148" t="s">
        <v>1386</v>
      </c>
      <c r="K2" s="148" t="s">
        <v>1393</v>
      </c>
      <c r="L2" s="154"/>
      <c r="M2" s="154"/>
      <c r="N2" s="148"/>
      <c r="O2" s="154"/>
      <c r="P2" s="148"/>
      <c r="Q2" s="148"/>
      <c r="R2" s="148"/>
    </row>
    <row r="3" spans="1:18" s="149" customFormat="1" ht="20.05" customHeight="1">
      <c r="A3" s="148">
        <v>300</v>
      </c>
      <c r="B3" s="154" t="s">
        <v>871</v>
      </c>
      <c r="C3" s="154" t="s">
        <v>874</v>
      </c>
      <c r="D3" s="154" t="s">
        <v>877</v>
      </c>
      <c r="E3" s="148" t="s">
        <v>540</v>
      </c>
      <c r="F3" s="154" t="s">
        <v>883</v>
      </c>
      <c r="G3" s="154" t="s">
        <v>899</v>
      </c>
      <c r="H3" s="180">
        <v>43528</v>
      </c>
      <c r="I3" s="148">
        <v>2019</v>
      </c>
      <c r="J3" s="148" t="s">
        <v>1385</v>
      </c>
      <c r="K3" s="148" t="s">
        <v>1393</v>
      </c>
      <c r="L3" s="154"/>
      <c r="M3" s="154"/>
      <c r="N3" s="148"/>
      <c r="O3" s="154"/>
      <c r="P3" s="148"/>
      <c r="Q3" s="148"/>
      <c r="R3" s="148"/>
    </row>
    <row r="4" spans="1:18" s="149" customFormat="1" ht="20.05" customHeight="1">
      <c r="A4" s="148">
        <v>301</v>
      </c>
      <c r="B4" s="154" t="s">
        <v>871</v>
      </c>
      <c r="C4" s="154" t="s">
        <v>874</v>
      </c>
      <c r="D4" s="154" t="s">
        <v>877</v>
      </c>
      <c r="E4" s="148" t="s">
        <v>540</v>
      </c>
      <c r="F4" s="154" t="s">
        <v>883</v>
      </c>
      <c r="G4" s="154" t="s">
        <v>899</v>
      </c>
      <c r="H4" s="180">
        <v>43528</v>
      </c>
      <c r="I4" s="148">
        <v>2019</v>
      </c>
      <c r="J4" s="148" t="s">
        <v>1385</v>
      </c>
      <c r="K4" s="148" t="s">
        <v>1394</v>
      </c>
      <c r="L4" s="154"/>
      <c r="M4" s="154"/>
      <c r="N4" s="148"/>
      <c r="O4" s="154"/>
      <c r="P4" s="148"/>
      <c r="Q4" s="148"/>
      <c r="R4" s="148"/>
    </row>
    <row r="5" spans="1:18" s="149" customFormat="1" ht="20.05" customHeight="1">
      <c r="A5" s="148">
        <v>302</v>
      </c>
      <c r="B5" s="154" t="s">
        <v>871</v>
      </c>
      <c r="C5" s="154" t="s">
        <v>874</v>
      </c>
      <c r="D5" s="154" t="s">
        <v>877</v>
      </c>
      <c r="E5" s="148" t="s">
        <v>540</v>
      </c>
      <c r="F5" s="154" t="s">
        <v>883</v>
      </c>
      <c r="G5" s="154" t="s">
        <v>899</v>
      </c>
      <c r="H5" s="180">
        <v>43528</v>
      </c>
      <c r="I5" s="148">
        <v>2019</v>
      </c>
      <c r="J5" s="148" t="s">
        <v>1385</v>
      </c>
      <c r="K5" s="148" t="s">
        <v>1395</v>
      </c>
      <c r="L5" s="154"/>
      <c r="M5" s="154"/>
      <c r="N5" s="148"/>
      <c r="O5" s="154"/>
      <c r="P5" s="148"/>
      <c r="Q5" s="148"/>
      <c r="R5" s="148"/>
    </row>
    <row r="6" spans="1:18" s="149" customFormat="1" ht="20.05" customHeight="1">
      <c r="A6" s="148">
        <v>303</v>
      </c>
      <c r="B6" s="154" t="s">
        <v>871</v>
      </c>
      <c r="C6" s="154" t="s">
        <v>874</v>
      </c>
      <c r="D6" s="154" t="s">
        <v>877</v>
      </c>
      <c r="E6" s="148" t="s">
        <v>540</v>
      </c>
      <c r="F6" s="154" t="s">
        <v>883</v>
      </c>
      <c r="G6" s="154" t="s">
        <v>899</v>
      </c>
      <c r="H6" s="180">
        <v>43528</v>
      </c>
      <c r="I6" s="148">
        <v>2019</v>
      </c>
      <c r="J6" s="148" t="s">
        <v>1385</v>
      </c>
      <c r="K6" s="148" t="s">
        <v>1396</v>
      </c>
      <c r="L6" s="154"/>
      <c r="M6" s="154"/>
      <c r="N6" s="148"/>
      <c r="O6" s="154"/>
      <c r="P6" s="148"/>
      <c r="Q6" s="148"/>
      <c r="R6" s="148"/>
    </row>
    <row r="7" spans="1:18" s="149" customFormat="1" ht="20.05" customHeight="1">
      <c r="A7" s="148">
        <v>304</v>
      </c>
      <c r="B7" s="154" t="s">
        <v>871</v>
      </c>
      <c r="C7" s="154" t="s">
        <v>874</v>
      </c>
      <c r="D7" s="154" t="s">
        <v>877</v>
      </c>
      <c r="E7" s="148" t="s">
        <v>540</v>
      </c>
      <c r="F7" s="154" t="s">
        <v>883</v>
      </c>
      <c r="G7" s="154" t="s">
        <v>899</v>
      </c>
      <c r="H7" s="148">
        <v>43528</v>
      </c>
      <c r="I7" s="148">
        <v>2019</v>
      </c>
      <c r="J7" s="148" t="s">
        <v>1385</v>
      </c>
      <c r="K7" s="148" t="s">
        <v>1408</v>
      </c>
      <c r="L7" s="148" t="s">
        <v>1389</v>
      </c>
      <c r="M7" s="154"/>
      <c r="N7" s="148"/>
      <c r="O7" s="154"/>
      <c r="P7" s="148"/>
      <c r="Q7" s="148"/>
      <c r="R7" s="148"/>
    </row>
    <row r="8" spans="1:18" s="149" customFormat="1" ht="20.05" customHeight="1">
      <c r="A8" s="148">
        <v>305</v>
      </c>
      <c r="B8" s="154" t="s">
        <v>871</v>
      </c>
      <c r="C8" s="154" t="s">
        <v>874</v>
      </c>
      <c r="D8" s="154" t="s">
        <v>877</v>
      </c>
      <c r="E8" s="148" t="s">
        <v>540</v>
      </c>
      <c r="F8" s="154" t="s">
        <v>883</v>
      </c>
      <c r="G8" s="154" t="s">
        <v>899</v>
      </c>
      <c r="H8" s="148">
        <v>43528</v>
      </c>
      <c r="I8" s="148">
        <v>2019</v>
      </c>
      <c r="J8" s="148" t="s">
        <v>1385</v>
      </c>
      <c r="K8" s="148" t="s">
        <v>1409</v>
      </c>
      <c r="L8" s="148" t="s">
        <v>1389</v>
      </c>
      <c r="M8" s="154"/>
      <c r="N8" s="148"/>
      <c r="O8" s="154"/>
      <c r="P8" s="148"/>
      <c r="Q8" s="148"/>
      <c r="R8" s="148"/>
    </row>
    <row r="9" spans="1:18" s="149" customFormat="1" ht="20.05" customHeight="1">
      <c r="A9" s="148">
        <v>306</v>
      </c>
      <c r="B9" s="154" t="s">
        <v>871</v>
      </c>
      <c r="C9" s="154" t="s">
        <v>874</v>
      </c>
      <c r="D9" s="154" t="s">
        <v>877</v>
      </c>
      <c r="E9" s="148" t="s">
        <v>540</v>
      </c>
      <c r="F9" s="154" t="s">
        <v>883</v>
      </c>
      <c r="G9" s="154" t="s">
        <v>899</v>
      </c>
      <c r="H9" s="148">
        <v>43528</v>
      </c>
      <c r="I9" s="148">
        <v>2019</v>
      </c>
      <c r="J9" s="148" t="s">
        <v>1385</v>
      </c>
      <c r="K9" s="148" t="s">
        <v>1410</v>
      </c>
      <c r="L9" s="148" t="s">
        <v>1389</v>
      </c>
      <c r="M9" s="154"/>
      <c r="N9" s="148"/>
      <c r="O9" s="154"/>
      <c r="P9" s="148"/>
      <c r="Q9" s="148"/>
      <c r="R9" s="148"/>
    </row>
    <row r="10" spans="1:18" s="149" customFormat="1" ht="20.05" customHeight="1">
      <c r="A10" s="148">
        <v>307</v>
      </c>
      <c r="B10" s="154" t="s">
        <v>871</v>
      </c>
      <c r="C10" s="154" t="s">
        <v>874</v>
      </c>
      <c r="D10" s="154" t="s">
        <v>877</v>
      </c>
      <c r="E10" s="148" t="s">
        <v>540</v>
      </c>
      <c r="F10" s="154" t="s">
        <v>883</v>
      </c>
      <c r="G10" s="154" t="s">
        <v>899</v>
      </c>
      <c r="H10" s="148">
        <v>43528</v>
      </c>
      <c r="I10" s="148">
        <v>2019</v>
      </c>
      <c r="J10" s="148" t="s">
        <v>1385</v>
      </c>
      <c r="K10" s="148" t="s">
        <v>1411</v>
      </c>
      <c r="L10" s="148" t="s">
        <v>1389</v>
      </c>
      <c r="M10" s="154"/>
      <c r="N10" s="148"/>
      <c r="O10" s="154"/>
      <c r="P10" s="148"/>
      <c r="Q10" s="148"/>
      <c r="R10" s="148"/>
    </row>
    <row r="11" spans="1:18" s="149" customFormat="1" ht="20.05" customHeight="1">
      <c r="A11" s="148">
        <v>308</v>
      </c>
      <c r="B11" s="154" t="s">
        <v>871</v>
      </c>
      <c r="C11" s="154" t="s">
        <v>874</v>
      </c>
      <c r="D11" s="154" t="s">
        <v>877</v>
      </c>
      <c r="E11" s="148" t="s">
        <v>540</v>
      </c>
      <c r="F11" s="154" t="s">
        <v>883</v>
      </c>
      <c r="G11" s="154" t="s">
        <v>899</v>
      </c>
      <c r="H11" s="148">
        <v>43528</v>
      </c>
      <c r="I11" s="148">
        <v>2019</v>
      </c>
      <c r="J11" s="148" t="s">
        <v>1385</v>
      </c>
      <c r="K11" s="148" t="s">
        <v>1412</v>
      </c>
      <c r="L11" s="148" t="s">
        <v>1389</v>
      </c>
      <c r="M11" s="154"/>
      <c r="N11" s="148"/>
      <c r="O11" s="154"/>
      <c r="P11" s="148"/>
      <c r="Q11" s="148"/>
      <c r="R11" s="148"/>
    </row>
    <row r="12" spans="1:18" s="149" customFormat="1" ht="20.05" customHeight="1">
      <c r="A12" s="148">
        <v>309</v>
      </c>
      <c r="B12" s="154" t="s">
        <v>871</v>
      </c>
      <c r="C12" s="154" t="s">
        <v>874</v>
      </c>
      <c r="D12" s="154" t="s">
        <v>877</v>
      </c>
      <c r="E12" s="148" t="s">
        <v>540</v>
      </c>
      <c r="F12" s="154" t="s">
        <v>883</v>
      </c>
      <c r="G12" s="154" t="s">
        <v>899</v>
      </c>
      <c r="H12" s="148">
        <v>43528</v>
      </c>
      <c r="I12" s="148">
        <v>2019</v>
      </c>
      <c r="J12" s="148" t="s">
        <v>1385</v>
      </c>
      <c r="K12" s="148" t="s">
        <v>1541</v>
      </c>
      <c r="L12" s="148" t="s">
        <v>1389</v>
      </c>
      <c r="M12" s="154"/>
      <c r="N12" s="148"/>
      <c r="O12" s="154"/>
      <c r="P12" s="148"/>
      <c r="Q12" s="148"/>
      <c r="R12" s="148"/>
    </row>
    <row r="13" spans="1:18" s="149" customFormat="1" ht="20.05" customHeight="1">
      <c r="A13" s="148">
        <v>310</v>
      </c>
      <c r="B13" s="154" t="s">
        <v>871</v>
      </c>
      <c r="C13" s="154" t="s">
        <v>874</v>
      </c>
      <c r="D13" s="154" t="s">
        <v>877</v>
      </c>
      <c r="E13" s="148" t="s">
        <v>540</v>
      </c>
      <c r="F13" s="154" t="s">
        <v>883</v>
      </c>
      <c r="G13" s="154" t="s">
        <v>899</v>
      </c>
      <c r="H13" s="148">
        <v>43528</v>
      </c>
      <c r="I13" s="148">
        <v>2019</v>
      </c>
      <c r="J13" s="148" t="s">
        <v>1385</v>
      </c>
      <c r="K13" s="148" t="s">
        <v>1542</v>
      </c>
      <c r="L13" s="148" t="s">
        <v>1389</v>
      </c>
      <c r="M13" s="154"/>
      <c r="N13" s="148"/>
      <c r="O13" s="154"/>
      <c r="P13" s="148"/>
      <c r="Q13" s="148"/>
      <c r="R13" s="148"/>
    </row>
    <row r="14" spans="1:18" s="149" customFormat="1" ht="20.05" customHeight="1">
      <c r="A14" s="148">
        <v>311</v>
      </c>
      <c r="B14" s="154" t="s">
        <v>871</v>
      </c>
      <c r="C14" s="154" t="s">
        <v>874</v>
      </c>
      <c r="D14" s="154" t="s">
        <v>877</v>
      </c>
      <c r="E14" s="148" t="s">
        <v>540</v>
      </c>
      <c r="F14" s="154" t="s">
        <v>883</v>
      </c>
      <c r="G14" s="154" t="s">
        <v>899</v>
      </c>
      <c r="H14" s="148">
        <v>43528</v>
      </c>
      <c r="I14" s="148">
        <v>2019</v>
      </c>
      <c r="J14" s="148" t="s">
        <v>1385</v>
      </c>
      <c r="K14" s="148" t="s">
        <v>1543</v>
      </c>
      <c r="L14" s="148" t="s">
        <v>1389</v>
      </c>
      <c r="M14" s="154"/>
      <c r="N14" s="148"/>
      <c r="O14" s="154"/>
      <c r="P14" s="148"/>
      <c r="Q14" s="148"/>
      <c r="R14" s="148"/>
    </row>
    <row r="15" spans="1:18" s="149" customFormat="1" ht="20.05" customHeight="1">
      <c r="A15" s="148">
        <v>312</v>
      </c>
      <c r="B15" s="154" t="s">
        <v>871</v>
      </c>
      <c r="C15" s="154" t="s">
        <v>874</v>
      </c>
      <c r="D15" s="154" t="s">
        <v>877</v>
      </c>
      <c r="E15" s="148" t="s">
        <v>540</v>
      </c>
      <c r="F15" s="154" t="s">
        <v>883</v>
      </c>
      <c r="G15" s="154" t="s">
        <v>899</v>
      </c>
      <c r="H15" s="148">
        <v>43528</v>
      </c>
      <c r="I15" s="148">
        <v>2019</v>
      </c>
      <c r="J15" s="148" t="s">
        <v>1385</v>
      </c>
      <c r="K15" s="148" t="s">
        <v>1544</v>
      </c>
      <c r="L15" s="148" t="s">
        <v>1389</v>
      </c>
      <c r="M15" s="154"/>
      <c r="N15" s="148"/>
      <c r="O15" s="154"/>
      <c r="P15" s="148"/>
      <c r="Q15" s="148"/>
      <c r="R15" s="148"/>
    </row>
    <row r="16" spans="1:18" s="149" customFormat="1" ht="20.05" customHeight="1">
      <c r="A16" s="148">
        <v>313</v>
      </c>
      <c r="B16" s="154" t="s">
        <v>871</v>
      </c>
      <c r="C16" s="154" t="s">
        <v>874</v>
      </c>
      <c r="D16" s="154" t="s">
        <v>877</v>
      </c>
      <c r="E16" s="148" t="s">
        <v>540</v>
      </c>
      <c r="F16" s="154" t="s">
        <v>883</v>
      </c>
      <c r="G16" s="154" t="s">
        <v>899</v>
      </c>
      <c r="H16" s="148">
        <v>43528</v>
      </c>
      <c r="I16" s="148">
        <v>2019</v>
      </c>
      <c r="J16" s="148" t="s">
        <v>1385</v>
      </c>
      <c r="K16" s="148" t="s">
        <v>1545</v>
      </c>
      <c r="L16" s="148" t="s">
        <v>1389</v>
      </c>
      <c r="M16" s="154"/>
      <c r="N16" s="148"/>
      <c r="O16" s="154"/>
      <c r="P16" s="148"/>
      <c r="Q16" s="148"/>
      <c r="R16" s="148"/>
    </row>
    <row r="17" spans="1:18" s="149" customFormat="1" ht="20.05" customHeight="1">
      <c r="A17" s="148">
        <v>314</v>
      </c>
      <c r="B17" s="154" t="s">
        <v>871</v>
      </c>
      <c r="C17" s="154" t="s">
        <v>874</v>
      </c>
      <c r="D17" s="154" t="s">
        <v>877</v>
      </c>
      <c r="E17" s="148" t="s">
        <v>540</v>
      </c>
      <c r="F17" s="154" t="s">
        <v>883</v>
      </c>
      <c r="G17" s="154" t="s">
        <v>899</v>
      </c>
      <c r="H17" s="148">
        <v>43528</v>
      </c>
      <c r="I17" s="148">
        <v>2019</v>
      </c>
      <c r="J17" s="148" t="s">
        <v>1385</v>
      </c>
      <c r="K17" s="148" t="s">
        <v>1585</v>
      </c>
      <c r="L17" s="148" t="s">
        <v>1389</v>
      </c>
      <c r="M17" s="154"/>
      <c r="N17" s="148"/>
      <c r="O17" s="154"/>
      <c r="P17" s="148"/>
      <c r="Q17" s="148"/>
      <c r="R17" s="148"/>
    </row>
    <row r="18" spans="1:18" s="149" customFormat="1" ht="20.05" customHeight="1">
      <c r="A18" s="148">
        <v>315</v>
      </c>
      <c r="B18" s="154" t="s">
        <v>871</v>
      </c>
      <c r="C18" s="154" t="s">
        <v>874</v>
      </c>
      <c r="D18" s="154" t="s">
        <v>877</v>
      </c>
      <c r="E18" s="148" t="s">
        <v>540</v>
      </c>
      <c r="F18" s="154" t="s">
        <v>883</v>
      </c>
      <c r="G18" s="154" t="s">
        <v>899</v>
      </c>
      <c r="H18" s="148">
        <v>43528</v>
      </c>
      <c r="I18" s="148">
        <v>2019</v>
      </c>
      <c r="J18" s="148" t="s">
        <v>1385</v>
      </c>
      <c r="K18" s="148" t="s">
        <v>1622</v>
      </c>
      <c r="L18" s="148" t="s">
        <v>1389</v>
      </c>
      <c r="M18" s="154"/>
      <c r="N18" s="148"/>
      <c r="O18" s="154"/>
      <c r="P18" s="148"/>
      <c r="Q18" s="148"/>
      <c r="R18" s="148"/>
    </row>
    <row r="19" spans="1:18" s="149" customFormat="1" ht="20.05" customHeight="1">
      <c r="A19" s="148">
        <v>316</v>
      </c>
      <c r="B19" s="154" t="s">
        <v>871</v>
      </c>
      <c r="C19" s="154" t="s">
        <v>874</v>
      </c>
      <c r="D19" s="154" t="s">
        <v>877</v>
      </c>
      <c r="E19" s="148" t="s">
        <v>540</v>
      </c>
      <c r="F19" s="154" t="s">
        <v>883</v>
      </c>
      <c r="G19" s="154" t="s">
        <v>899</v>
      </c>
      <c r="H19" s="148">
        <v>43528</v>
      </c>
      <c r="I19" s="148">
        <v>2019</v>
      </c>
      <c r="J19" s="148" t="s">
        <v>1385</v>
      </c>
      <c r="K19" s="148" t="s">
        <v>1623</v>
      </c>
      <c r="L19" s="148" t="s">
        <v>1389</v>
      </c>
      <c r="M19" s="154"/>
      <c r="N19" s="154"/>
      <c r="O19" s="154"/>
      <c r="P19" s="154"/>
      <c r="Q19" s="154"/>
      <c r="R19" s="174" t="s">
        <v>1389</v>
      </c>
    </row>
    <row r="20" spans="1:18" s="149" customFormat="1" ht="20.05" customHeight="1">
      <c r="A20" s="148">
        <v>317</v>
      </c>
      <c r="B20" s="154" t="s">
        <v>871</v>
      </c>
      <c r="C20" s="154" t="s">
        <v>874</v>
      </c>
      <c r="D20" s="154" t="s">
        <v>877</v>
      </c>
      <c r="E20" s="148" t="s">
        <v>540</v>
      </c>
      <c r="F20" s="154" t="s">
        <v>883</v>
      </c>
      <c r="G20" s="154" t="s">
        <v>899</v>
      </c>
      <c r="H20" s="148">
        <v>43528</v>
      </c>
      <c r="I20" s="148">
        <v>2019</v>
      </c>
      <c r="J20" s="148" t="s">
        <v>1385</v>
      </c>
      <c r="K20" s="148" t="s">
        <v>1630</v>
      </c>
      <c r="L20" s="148" t="s">
        <v>1389</v>
      </c>
      <c r="M20" s="154"/>
      <c r="N20" s="154"/>
      <c r="O20" s="154"/>
      <c r="P20" s="154"/>
      <c r="Q20" s="154"/>
      <c r="R20" s="175" t="s">
        <v>1389</v>
      </c>
    </row>
    <row r="21" spans="1:18" s="149" customFormat="1" ht="20.05" customHeight="1">
      <c r="A21" s="148">
        <v>317</v>
      </c>
      <c r="B21" s="154" t="s">
        <v>871</v>
      </c>
      <c r="C21" s="154" t="s">
        <v>874</v>
      </c>
      <c r="D21" s="154" t="s">
        <v>877</v>
      </c>
      <c r="E21" s="148" t="s">
        <v>540</v>
      </c>
      <c r="F21" s="154" t="s">
        <v>883</v>
      </c>
      <c r="G21" s="154" t="s">
        <v>899</v>
      </c>
      <c r="H21" s="148">
        <v>43528</v>
      </c>
      <c r="I21" s="148">
        <v>2019</v>
      </c>
      <c r="J21" s="148" t="s">
        <v>1385</v>
      </c>
      <c r="K21" s="148" t="s">
        <v>1630</v>
      </c>
      <c r="L21" s="148"/>
      <c r="M21" s="154"/>
      <c r="N21" s="154"/>
      <c r="O21" s="154"/>
      <c r="P21" s="154"/>
      <c r="Q21" s="154"/>
      <c r="R21" s="175" t="s">
        <v>1389</v>
      </c>
    </row>
    <row r="22" spans="1:18" s="149" customFormat="1" ht="20.05" customHeight="1">
      <c r="A22" s="148" t="s">
        <v>889</v>
      </c>
      <c r="B22" s="154" t="s">
        <v>1374</v>
      </c>
      <c r="C22" s="154" t="s">
        <v>1375</v>
      </c>
      <c r="D22" s="154" t="s">
        <v>1376</v>
      </c>
      <c r="E22" s="148" t="s">
        <v>520</v>
      </c>
      <c r="F22" s="154" t="s">
        <v>904</v>
      </c>
      <c r="G22" s="154" t="s">
        <v>545</v>
      </c>
      <c r="H22" s="148" t="s">
        <v>1383</v>
      </c>
      <c r="I22" s="148" t="s">
        <v>890</v>
      </c>
      <c r="J22" s="148" t="s">
        <v>1384</v>
      </c>
      <c r="K22" s="148" t="s">
        <v>1032</v>
      </c>
      <c r="L22" s="154"/>
      <c r="M22" s="154"/>
      <c r="N22" s="154"/>
      <c r="O22" s="154"/>
      <c r="P22" s="154"/>
      <c r="Q22" s="154"/>
      <c r="R22" s="175" t="s">
        <v>1389</v>
      </c>
    </row>
    <row r="23" spans="1:18" s="147" customFormat="1" ht="20.05" customHeight="1">
      <c r="A23" s="148"/>
      <c r="B23" s="154"/>
      <c r="C23" s="154"/>
      <c r="D23" s="154"/>
      <c r="E23" s="148"/>
      <c r="F23" s="154"/>
      <c r="G23" s="154"/>
      <c r="H23" s="148"/>
      <c r="I23" s="148"/>
      <c r="J23" s="148"/>
      <c r="K23" s="148"/>
      <c r="L23" s="148"/>
      <c r="M23" s="154"/>
      <c r="N23" s="154"/>
      <c r="O23" s="154"/>
      <c r="P23" s="154"/>
      <c r="Q23" s="154"/>
      <c r="R23" s="154" t="s">
        <v>1389</v>
      </c>
    </row>
    <row r="24" spans="1:18" s="147" customFormat="1" ht="20.05" customHeight="1">
      <c r="A24" s="148"/>
      <c r="B24" s="154"/>
      <c r="C24" s="154"/>
      <c r="D24" s="154"/>
      <c r="E24" s="148"/>
      <c r="F24" s="154"/>
      <c r="G24" s="154"/>
      <c r="H24" s="148"/>
      <c r="I24" s="148"/>
      <c r="J24" s="148"/>
      <c r="K24" s="148"/>
      <c r="L24" s="148"/>
      <c r="M24" s="154"/>
      <c r="N24" s="154"/>
      <c r="O24" s="154"/>
      <c r="P24" s="154"/>
      <c r="Q24" s="154"/>
      <c r="R24" s="175"/>
    </row>
    <row r="25" spans="1:18" s="147" customFormat="1" ht="20.05" customHeight="1">
      <c r="A25" s="148"/>
      <c r="B25" s="154"/>
      <c r="C25" s="154"/>
      <c r="D25" s="154"/>
      <c r="E25" s="148"/>
      <c r="F25" s="154"/>
      <c r="G25" s="154"/>
      <c r="H25" s="148"/>
      <c r="I25" s="148"/>
      <c r="J25" s="148"/>
      <c r="K25" s="148"/>
      <c r="L25" s="154"/>
      <c r="M25" s="154"/>
      <c r="N25" s="154"/>
      <c r="O25" s="154"/>
      <c r="P25" s="154"/>
      <c r="Q25" s="154"/>
      <c r="R25" s="175"/>
    </row>
    <row r="26" spans="1:18" s="147" customFormat="1" ht="20.05" customHeight="1">
      <c r="A26" s="148"/>
      <c r="B26" s="154"/>
      <c r="C26" s="154"/>
      <c r="D26" s="154"/>
      <c r="E26" s="148"/>
      <c r="F26" s="154"/>
      <c r="G26" s="154"/>
      <c r="H26" s="148"/>
      <c r="I26" s="148"/>
      <c r="J26" s="148"/>
      <c r="K26" s="148"/>
      <c r="L26" s="154"/>
      <c r="M26" s="154"/>
      <c r="N26" s="154"/>
      <c r="O26" s="154"/>
      <c r="P26" s="154"/>
      <c r="Q26" s="154"/>
      <c r="R26" s="175"/>
    </row>
    <row r="27" spans="1:18" s="147" customFormat="1" ht="20.05" customHeight="1">
      <c r="A27" s="148"/>
      <c r="B27" s="154"/>
      <c r="C27" s="154"/>
      <c r="D27" s="154"/>
      <c r="E27" s="148"/>
      <c r="F27" s="154"/>
      <c r="G27" s="154"/>
      <c r="H27" s="148"/>
      <c r="I27" s="148"/>
      <c r="J27" s="148"/>
      <c r="K27" s="148"/>
      <c r="L27" s="154"/>
      <c r="M27" s="154"/>
      <c r="N27" s="154"/>
      <c r="O27" s="154"/>
      <c r="P27" s="154"/>
      <c r="Q27" s="154"/>
      <c r="R27" s="175"/>
    </row>
    <row r="28" spans="1:18" s="147" customFormat="1" ht="20.05" customHeight="1">
      <c r="A28" s="148"/>
      <c r="B28" s="154"/>
      <c r="C28" s="154"/>
      <c r="D28" s="154"/>
      <c r="E28" s="148"/>
      <c r="F28" s="154"/>
      <c r="G28" s="154"/>
      <c r="H28" s="148"/>
      <c r="I28" s="148"/>
      <c r="J28" s="148"/>
      <c r="K28" s="148"/>
      <c r="L28" s="154"/>
      <c r="M28" s="154"/>
      <c r="N28" s="154"/>
      <c r="O28" s="154"/>
      <c r="P28" s="154"/>
      <c r="Q28" s="154"/>
      <c r="R28" s="175"/>
    </row>
    <row r="29" spans="1:18" s="147" customFormat="1" ht="20.05" customHeight="1">
      <c r="A29" s="148"/>
      <c r="B29" s="154"/>
      <c r="C29" s="154"/>
      <c r="D29" s="154"/>
      <c r="E29" s="148"/>
      <c r="F29" s="154"/>
      <c r="G29" s="154"/>
      <c r="H29" s="148"/>
      <c r="I29" s="148"/>
      <c r="J29" s="148"/>
      <c r="K29" s="148"/>
      <c r="L29" s="154"/>
      <c r="M29" s="154"/>
      <c r="N29" s="154"/>
      <c r="O29" s="154"/>
      <c r="P29" s="154"/>
      <c r="Q29" s="154"/>
      <c r="R29" s="175"/>
    </row>
    <row r="30" spans="1:18" s="149" customFormat="1" ht="20.05" customHeight="1">
      <c r="A30" s="148"/>
      <c r="B30" s="154"/>
      <c r="C30" s="154"/>
      <c r="D30" s="154"/>
      <c r="E30" s="148"/>
      <c r="F30" s="154"/>
      <c r="G30" s="154"/>
      <c r="H30" s="148"/>
      <c r="I30" s="148"/>
      <c r="J30" s="148"/>
      <c r="K30" s="148"/>
      <c r="L30" s="154"/>
      <c r="M30" s="154"/>
      <c r="N30" s="154"/>
      <c r="O30" s="154"/>
      <c r="P30" s="154"/>
      <c r="Q30" s="154"/>
      <c r="R30" s="175"/>
    </row>
    <row r="31" spans="1:18" s="147" customFormat="1" ht="20.05" customHeight="1">
      <c r="A31" s="161"/>
      <c r="B31" s="154"/>
      <c r="C31" s="154"/>
      <c r="D31" s="154"/>
      <c r="E31" s="148"/>
      <c r="F31" s="154"/>
      <c r="G31" s="154"/>
      <c r="H31" s="148"/>
      <c r="I31" s="148"/>
      <c r="J31" s="148"/>
      <c r="K31" s="148"/>
      <c r="L31" s="154"/>
      <c r="M31" s="154"/>
      <c r="N31" s="154"/>
      <c r="O31" s="154"/>
      <c r="P31" s="154"/>
      <c r="Q31" s="154"/>
      <c r="R31" s="175"/>
    </row>
    <row r="32" spans="1:18" s="147" customFormat="1" ht="20.05" customHeight="1">
      <c r="A32" s="148"/>
      <c r="B32" s="154"/>
      <c r="C32" s="154"/>
      <c r="D32" s="154"/>
      <c r="E32" s="148"/>
      <c r="F32" s="154"/>
      <c r="G32" s="154"/>
      <c r="H32" s="148"/>
      <c r="I32" s="148"/>
      <c r="J32" s="148"/>
      <c r="K32" s="148"/>
      <c r="L32" s="154"/>
      <c r="M32" s="154"/>
      <c r="N32" s="154"/>
      <c r="O32" s="154"/>
      <c r="P32" s="154"/>
      <c r="Q32" s="154"/>
      <c r="R32" s="175"/>
    </row>
    <row r="33" spans="1:18" s="147" customFormat="1" ht="20.05" customHeight="1">
      <c r="A33" s="148"/>
      <c r="B33" s="154"/>
      <c r="C33" s="154"/>
      <c r="D33" s="154"/>
      <c r="E33" s="148"/>
      <c r="F33" s="154"/>
      <c r="G33" s="154"/>
      <c r="H33" s="148"/>
      <c r="I33" s="148"/>
      <c r="J33" s="148"/>
      <c r="K33" s="148"/>
      <c r="L33" s="154"/>
      <c r="M33" s="154"/>
      <c r="N33" s="154"/>
      <c r="O33" s="154"/>
      <c r="P33" s="154"/>
      <c r="Q33" s="154"/>
      <c r="R33" s="175"/>
    </row>
    <row r="34" spans="1:18" s="147" customFormat="1" ht="20.05" customHeight="1">
      <c r="A34" s="148"/>
      <c r="B34" s="154"/>
      <c r="C34" s="154"/>
      <c r="D34" s="154"/>
      <c r="E34" s="148"/>
      <c r="F34" s="154"/>
      <c r="G34" s="154"/>
      <c r="H34" s="148"/>
      <c r="I34" s="148"/>
      <c r="J34" s="148"/>
      <c r="K34" s="148"/>
      <c r="L34" s="154"/>
      <c r="M34" s="154"/>
      <c r="N34" s="154"/>
      <c r="O34" s="154"/>
      <c r="P34" s="154"/>
      <c r="Q34" s="154"/>
      <c r="R34" s="175"/>
    </row>
    <row r="35" spans="1:18" s="147" customFormat="1" ht="20.05" customHeight="1">
      <c r="A35" s="148"/>
      <c r="B35" s="154"/>
      <c r="C35" s="154"/>
      <c r="D35" s="154"/>
      <c r="E35" s="148"/>
      <c r="F35" s="154"/>
      <c r="G35" s="154"/>
      <c r="H35" s="148"/>
      <c r="I35" s="148"/>
      <c r="J35" s="148"/>
      <c r="K35" s="148"/>
      <c r="L35" s="154"/>
      <c r="M35" s="154"/>
      <c r="N35" s="154"/>
      <c r="O35" s="154"/>
      <c r="P35" s="154"/>
      <c r="Q35" s="154"/>
      <c r="R35" s="175"/>
    </row>
    <row r="36" spans="1:18" s="147" customFormat="1" ht="20.05" customHeight="1">
      <c r="A36" s="148"/>
      <c r="B36" s="154"/>
      <c r="C36" s="154"/>
      <c r="D36" s="154"/>
      <c r="E36" s="148"/>
      <c r="F36" s="154"/>
      <c r="G36" s="154"/>
      <c r="H36" s="148"/>
      <c r="I36" s="148"/>
      <c r="J36" s="148"/>
      <c r="K36" s="148"/>
      <c r="L36" s="154"/>
      <c r="M36" s="154"/>
      <c r="N36" s="154"/>
      <c r="O36" s="154"/>
      <c r="P36" s="154"/>
      <c r="Q36" s="154"/>
      <c r="R36" s="175"/>
    </row>
    <row r="37" spans="1:18" s="153" customFormat="1" ht="20.05" customHeight="1">
      <c r="A37" s="148"/>
      <c r="B37" s="154"/>
      <c r="C37" s="154"/>
      <c r="D37" s="154"/>
      <c r="E37" s="148"/>
      <c r="F37" s="154"/>
      <c r="G37" s="154"/>
      <c r="H37" s="148"/>
      <c r="I37" s="148"/>
      <c r="J37" s="148"/>
      <c r="K37" s="148"/>
      <c r="L37" s="154"/>
      <c r="M37" s="154"/>
      <c r="N37" s="154"/>
      <c r="O37" s="154"/>
      <c r="P37" s="154"/>
      <c r="Q37" s="154"/>
      <c r="R37" s="175"/>
    </row>
    <row r="38" spans="1:18" s="153" customFormat="1" ht="20.05" customHeight="1">
      <c r="A38" s="148"/>
      <c r="B38" s="154"/>
      <c r="C38" s="154"/>
      <c r="D38" s="154"/>
      <c r="E38" s="148"/>
      <c r="F38" s="154"/>
      <c r="G38" s="154"/>
      <c r="H38" s="148"/>
      <c r="I38" s="148"/>
      <c r="J38" s="148"/>
      <c r="K38" s="148"/>
      <c r="L38" s="154"/>
      <c r="M38" s="154"/>
      <c r="N38" s="154"/>
      <c r="O38" s="154"/>
      <c r="P38" s="154"/>
      <c r="Q38" s="154"/>
      <c r="R38" s="175"/>
    </row>
    <row r="39" spans="1:18" s="153" customFormat="1" ht="20.05" customHeight="1">
      <c r="A39" s="148"/>
      <c r="B39" s="154"/>
      <c r="C39" s="154"/>
      <c r="D39" s="154"/>
      <c r="E39" s="148"/>
      <c r="F39" s="154"/>
      <c r="G39" s="154"/>
      <c r="H39" s="148"/>
      <c r="I39" s="148"/>
      <c r="J39" s="148"/>
      <c r="K39" s="148"/>
      <c r="L39" s="154"/>
      <c r="M39" s="154"/>
      <c r="N39" s="154"/>
      <c r="O39" s="154"/>
      <c r="P39" s="154"/>
      <c r="Q39" s="154"/>
      <c r="R39" s="175"/>
    </row>
    <row r="40" spans="1:18" s="153" customFormat="1" ht="20.05" customHeight="1">
      <c r="A40" s="148"/>
      <c r="B40" s="154"/>
      <c r="C40" s="154"/>
      <c r="D40" s="154"/>
      <c r="E40" s="148"/>
      <c r="F40" s="154"/>
      <c r="G40" s="154"/>
      <c r="H40" s="148"/>
      <c r="I40" s="148"/>
      <c r="J40" s="148"/>
      <c r="K40" s="148"/>
      <c r="L40" s="154"/>
      <c r="M40" s="154"/>
      <c r="N40" s="154"/>
      <c r="O40" s="154"/>
      <c r="P40" s="154"/>
      <c r="Q40" s="154"/>
      <c r="R40" s="175"/>
    </row>
    <row r="41" spans="1:18" s="153" customFormat="1" ht="20.05" customHeight="1">
      <c r="A41" s="148"/>
      <c r="B41" s="154"/>
      <c r="C41" s="154"/>
      <c r="D41" s="154"/>
      <c r="E41" s="148"/>
      <c r="F41" s="154"/>
      <c r="G41" s="154"/>
      <c r="H41" s="148"/>
      <c r="I41" s="148"/>
      <c r="J41" s="148"/>
      <c r="K41" s="148"/>
      <c r="L41" s="154"/>
      <c r="M41" s="154"/>
      <c r="N41" s="154"/>
      <c r="O41" s="154"/>
      <c r="P41" s="154"/>
      <c r="Q41" s="154"/>
      <c r="R41" s="175"/>
    </row>
    <row r="42" spans="1:18" s="153" customFormat="1" ht="20.05" customHeight="1">
      <c r="A42" s="148"/>
      <c r="B42" s="154"/>
      <c r="C42" s="154"/>
      <c r="D42" s="154"/>
      <c r="E42" s="148"/>
      <c r="F42" s="154"/>
      <c r="G42" s="154"/>
      <c r="H42" s="148"/>
      <c r="I42" s="148"/>
      <c r="J42" s="148"/>
      <c r="K42" s="148"/>
      <c r="L42" s="154"/>
      <c r="M42" s="154"/>
      <c r="N42" s="154"/>
      <c r="O42" s="154"/>
      <c r="P42" s="154"/>
      <c r="Q42" s="154"/>
      <c r="R42" s="175"/>
    </row>
    <row r="43" spans="1:18" s="153" customFormat="1" ht="20.05" customHeight="1">
      <c r="A43" s="148"/>
      <c r="B43" s="154"/>
      <c r="C43" s="154"/>
      <c r="D43" s="154"/>
      <c r="E43" s="148"/>
      <c r="F43" s="154"/>
      <c r="G43" s="154"/>
      <c r="H43" s="148"/>
      <c r="I43" s="148"/>
      <c r="J43" s="148"/>
      <c r="K43" s="148"/>
      <c r="L43" s="154"/>
      <c r="M43" s="154"/>
      <c r="N43" s="154"/>
      <c r="O43" s="154"/>
      <c r="P43" s="154"/>
      <c r="Q43" s="154"/>
      <c r="R43" s="175"/>
    </row>
    <row r="44" spans="1:18" s="153" customFormat="1" ht="20.05" customHeight="1">
      <c r="A44" s="148"/>
      <c r="B44" s="154"/>
      <c r="C44" s="154"/>
      <c r="D44" s="154"/>
      <c r="E44" s="148"/>
      <c r="F44" s="154"/>
      <c r="G44" s="154"/>
      <c r="H44" s="148"/>
      <c r="I44" s="148"/>
      <c r="J44" s="148"/>
      <c r="K44" s="148"/>
      <c r="L44" s="154"/>
      <c r="M44" s="154"/>
      <c r="N44" s="154"/>
      <c r="O44" s="154"/>
      <c r="P44" s="154"/>
      <c r="Q44" s="154"/>
      <c r="R44" s="175"/>
    </row>
    <row r="45" spans="1:18" s="153" customFormat="1" ht="20.05" customHeight="1">
      <c r="A45" s="148"/>
      <c r="B45" s="154"/>
      <c r="C45" s="154"/>
      <c r="D45" s="154"/>
      <c r="E45" s="148"/>
      <c r="F45" s="154"/>
      <c r="G45" s="154"/>
      <c r="H45" s="148"/>
      <c r="I45" s="148"/>
      <c r="J45" s="148"/>
      <c r="K45" s="148"/>
      <c r="L45" s="154"/>
      <c r="M45" s="154"/>
      <c r="N45" s="154"/>
      <c r="O45" s="154"/>
      <c r="P45" s="154"/>
      <c r="Q45" s="154"/>
      <c r="R45" s="175"/>
    </row>
    <row r="46" spans="1:18" s="153" customFormat="1" ht="20.05" customHeight="1">
      <c r="A46" s="148"/>
      <c r="B46" s="154"/>
      <c r="C46" s="154"/>
      <c r="D46" s="154"/>
      <c r="E46" s="148"/>
      <c r="F46" s="154"/>
      <c r="G46" s="154"/>
      <c r="H46" s="148"/>
      <c r="I46" s="148"/>
      <c r="J46" s="148"/>
      <c r="K46" s="148"/>
      <c r="L46" s="154"/>
      <c r="M46" s="154"/>
      <c r="N46" s="154"/>
      <c r="O46" s="154"/>
      <c r="P46" s="154"/>
      <c r="Q46" s="154"/>
      <c r="R46" s="175"/>
    </row>
    <row r="47" spans="1:18" s="153" customFormat="1" ht="20.05" customHeight="1">
      <c r="A47" s="148"/>
      <c r="B47" s="154"/>
      <c r="C47" s="154"/>
      <c r="D47" s="154"/>
      <c r="E47" s="148"/>
      <c r="F47" s="154"/>
      <c r="G47" s="154"/>
      <c r="H47" s="148"/>
      <c r="I47" s="148"/>
      <c r="J47" s="148"/>
      <c r="K47" s="148"/>
      <c r="L47" s="154"/>
      <c r="M47" s="154"/>
      <c r="N47" s="154"/>
      <c r="O47" s="154"/>
      <c r="P47" s="154"/>
      <c r="Q47" s="154"/>
      <c r="R47" s="175"/>
    </row>
    <row r="48" spans="1:18" s="153" customFormat="1" ht="20.05" customHeight="1">
      <c r="A48" s="148"/>
      <c r="B48" s="154"/>
      <c r="C48" s="154"/>
      <c r="D48" s="154"/>
      <c r="E48" s="148"/>
      <c r="F48" s="154"/>
      <c r="G48" s="154"/>
      <c r="H48" s="148"/>
      <c r="I48" s="148"/>
      <c r="J48" s="148"/>
      <c r="K48" s="148"/>
      <c r="L48" s="154"/>
      <c r="M48" s="154"/>
      <c r="N48" s="154"/>
      <c r="O48" s="154"/>
      <c r="P48" s="154"/>
      <c r="Q48" s="154"/>
      <c r="R48" s="175"/>
    </row>
    <row r="49" spans="1:18" s="153" customFormat="1" ht="20.05" customHeight="1">
      <c r="A49" s="148"/>
      <c r="B49" s="154"/>
      <c r="C49" s="154"/>
      <c r="D49" s="154"/>
      <c r="E49" s="148"/>
      <c r="F49" s="154"/>
      <c r="G49" s="154"/>
      <c r="H49" s="148"/>
      <c r="I49" s="148"/>
      <c r="J49" s="148"/>
      <c r="K49" s="148"/>
      <c r="L49" s="154"/>
      <c r="M49" s="154"/>
      <c r="N49" s="154"/>
      <c r="O49" s="154"/>
      <c r="P49" s="154"/>
      <c r="Q49" s="154"/>
      <c r="R49" s="175"/>
    </row>
    <row r="50" spans="1:18" s="153" customFormat="1" ht="20.05" customHeight="1">
      <c r="A50" s="148"/>
      <c r="B50" s="154"/>
      <c r="C50" s="154"/>
      <c r="D50" s="154"/>
      <c r="E50" s="148"/>
      <c r="F50" s="154"/>
      <c r="G50" s="154"/>
      <c r="H50" s="148"/>
      <c r="I50" s="148"/>
      <c r="J50" s="148"/>
      <c r="K50" s="148"/>
      <c r="L50" s="154"/>
      <c r="M50" s="154"/>
      <c r="N50" s="154"/>
      <c r="O50" s="154"/>
      <c r="P50" s="154"/>
      <c r="Q50" s="154"/>
      <c r="R50" s="175"/>
    </row>
    <row r="51" spans="1:18" s="153" customFormat="1" ht="20.05" customHeight="1">
      <c r="A51" s="148"/>
      <c r="B51" s="154"/>
      <c r="C51" s="154"/>
      <c r="D51" s="154"/>
      <c r="E51" s="148"/>
      <c r="F51" s="154"/>
      <c r="G51" s="154"/>
      <c r="H51" s="148"/>
      <c r="I51" s="148"/>
      <c r="J51" s="148"/>
      <c r="K51" s="148"/>
      <c r="L51" s="154"/>
      <c r="M51" s="154"/>
      <c r="N51" s="154"/>
      <c r="O51" s="154"/>
      <c r="P51" s="154"/>
      <c r="Q51" s="154"/>
      <c r="R51" s="175"/>
    </row>
    <row r="52" spans="1:18" s="153" customFormat="1" ht="20.05" customHeight="1">
      <c r="A52" s="148"/>
      <c r="B52" s="154"/>
      <c r="C52" s="154"/>
      <c r="D52" s="154"/>
      <c r="E52" s="148"/>
      <c r="F52" s="154"/>
      <c r="G52" s="154"/>
      <c r="H52" s="148"/>
      <c r="I52" s="148"/>
      <c r="J52" s="148"/>
      <c r="K52" s="148"/>
      <c r="L52" s="154"/>
      <c r="M52" s="154"/>
      <c r="N52" s="154"/>
      <c r="O52" s="154"/>
      <c r="P52" s="154"/>
      <c r="Q52" s="154"/>
      <c r="R52" s="175"/>
    </row>
    <row r="53" spans="1:18" s="153" customFormat="1" ht="20.05" customHeight="1">
      <c r="A53" s="148"/>
      <c r="B53" s="154"/>
      <c r="C53" s="154"/>
      <c r="D53" s="154"/>
      <c r="E53" s="148"/>
      <c r="F53" s="154"/>
      <c r="G53" s="154"/>
      <c r="H53" s="148"/>
      <c r="I53" s="148"/>
      <c r="J53" s="148"/>
      <c r="K53" s="148"/>
      <c r="L53" s="154"/>
      <c r="M53" s="154"/>
      <c r="N53" s="154"/>
      <c r="O53" s="154"/>
      <c r="P53" s="154"/>
      <c r="Q53" s="154"/>
      <c r="R53" s="175"/>
    </row>
    <row r="54" spans="1:18" s="153" customFormat="1" ht="20.05" customHeight="1">
      <c r="A54" s="148"/>
      <c r="B54" s="154"/>
      <c r="C54" s="154"/>
      <c r="D54" s="154"/>
      <c r="E54" s="148"/>
      <c r="F54" s="154"/>
      <c r="G54" s="154"/>
      <c r="H54" s="148"/>
      <c r="I54" s="148"/>
      <c r="J54" s="148"/>
      <c r="K54" s="148"/>
      <c r="L54" s="154"/>
      <c r="M54" s="154"/>
      <c r="N54" s="154"/>
      <c r="O54" s="154"/>
      <c r="P54" s="154"/>
      <c r="Q54" s="154"/>
      <c r="R54" s="175"/>
    </row>
    <row r="55" spans="1:18" s="153" customFormat="1" ht="20.05" customHeight="1">
      <c r="A55" s="148"/>
      <c r="B55" s="154"/>
      <c r="C55" s="154"/>
      <c r="D55" s="154"/>
      <c r="E55" s="148"/>
      <c r="F55" s="154"/>
      <c r="G55" s="154"/>
      <c r="H55" s="148"/>
      <c r="I55" s="148"/>
      <c r="J55" s="148"/>
      <c r="K55" s="148"/>
      <c r="L55" s="154"/>
      <c r="M55" s="154"/>
      <c r="N55" s="154"/>
      <c r="O55" s="154"/>
      <c r="P55" s="154"/>
      <c r="Q55" s="154"/>
      <c r="R55" s="175"/>
    </row>
    <row r="56" spans="1:18" s="153" customFormat="1" ht="20.05" customHeight="1">
      <c r="A56" s="148"/>
      <c r="B56" s="154"/>
      <c r="C56" s="154"/>
      <c r="D56" s="154"/>
      <c r="E56" s="148"/>
      <c r="F56" s="154"/>
      <c r="G56" s="154"/>
      <c r="H56" s="148"/>
      <c r="I56" s="148"/>
      <c r="J56" s="148"/>
      <c r="K56" s="148"/>
      <c r="L56" s="154"/>
      <c r="M56" s="154"/>
      <c r="N56" s="154"/>
      <c r="O56" s="154"/>
      <c r="P56" s="154"/>
      <c r="Q56" s="154"/>
      <c r="R56" s="175"/>
    </row>
    <row r="57" spans="1:18" s="153" customFormat="1" ht="20.05" customHeight="1">
      <c r="A57" s="148"/>
      <c r="B57" s="154"/>
      <c r="C57" s="154"/>
      <c r="D57" s="154"/>
      <c r="E57" s="148"/>
      <c r="F57" s="154"/>
      <c r="G57" s="154"/>
      <c r="H57" s="148"/>
      <c r="I57" s="148"/>
      <c r="J57" s="148"/>
      <c r="K57" s="148"/>
      <c r="L57" s="154"/>
      <c r="M57" s="154"/>
      <c r="N57" s="154"/>
      <c r="O57" s="154"/>
      <c r="P57" s="154"/>
      <c r="Q57" s="154"/>
      <c r="R57" s="175"/>
    </row>
    <row r="58" spans="1:18" s="153" customFormat="1" ht="20.05" customHeight="1">
      <c r="A58" s="148"/>
      <c r="B58" s="154"/>
      <c r="C58" s="154"/>
      <c r="D58" s="154"/>
      <c r="E58" s="148"/>
      <c r="F58" s="154"/>
      <c r="G58" s="154"/>
      <c r="H58" s="148"/>
      <c r="I58" s="148"/>
      <c r="J58" s="148"/>
      <c r="K58" s="148"/>
      <c r="L58" s="154"/>
      <c r="M58" s="154"/>
      <c r="N58" s="154"/>
      <c r="O58" s="154"/>
      <c r="P58" s="154"/>
      <c r="Q58" s="154"/>
      <c r="R58" s="175"/>
    </row>
    <row r="59" spans="1:18" s="153" customFormat="1" ht="20.05" customHeight="1">
      <c r="A59" s="148"/>
      <c r="B59" s="154"/>
      <c r="C59" s="154"/>
      <c r="D59" s="154"/>
      <c r="E59" s="148"/>
      <c r="F59" s="154"/>
      <c r="G59" s="154"/>
      <c r="H59" s="148"/>
      <c r="I59" s="148"/>
      <c r="J59" s="148"/>
      <c r="K59" s="148"/>
      <c r="L59" s="154"/>
      <c r="M59" s="154"/>
      <c r="N59" s="154"/>
      <c r="O59" s="154"/>
      <c r="P59" s="154"/>
      <c r="Q59" s="154"/>
      <c r="R59" s="175"/>
    </row>
    <row r="60" spans="1:18" s="153" customFormat="1" ht="20.05" customHeight="1">
      <c r="A60" s="148"/>
      <c r="B60" s="154"/>
      <c r="C60" s="154"/>
      <c r="D60" s="154"/>
      <c r="E60" s="148"/>
      <c r="F60" s="154"/>
      <c r="G60" s="154"/>
      <c r="H60" s="148"/>
      <c r="I60" s="148"/>
      <c r="J60" s="148"/>
      <c r="K60" s="148"/>
      <c r="L60" s="154"/>
      <c r="M60" s="154"/>
      <c r="N60" s="154"/>
      <c r="O60" s="154"/>
      <c r="P60" s="154"/>
      <c r="Q60" s="154"/>
      <c r="R60" s="175"/>
    </row>
    <row r="61" spans="1:18" s="153" customFormat="1" ht="20.05" customHeight="1">
      <c r="A61" s="148"/>
      <c r="B61" s="154"/>
      <c r="C61" s="154"/>
      <c r="D61" s="154"/>
      <c r="E61" s="148"/>
      <c r="F61" s="154"/>
      <c r="G61" s="154"/>
      <c r="H61" s="148"/>
      <c r="I61" s="148"/>
      <c r="J61" s="148"/>
      <c r="K61" s="148"/>
      <c r="L61" s="154"/>
      <c r="M61" s="154"/>
      <c r="N61" s="154"/>
      <c r="O61" s="154"/>
      <c r="P61" s="154"/>
      <c r="Q61" s="154"/>
      <c r="R61" s="175"/>
    </row>
    <row r="62" spans="1:18" s="153" customFormat="1" ht="20.05" customHeight="1">
      <c r="A62" s="148"/>
      <c r="B62" s="154"/>
      <c r="C62" s="154"/>
      <c r="D62" s="154"/>
      <c r="E62" s="148"/>
      <c r="F62" s="154"/>
      <c r="G62" s="154"/>
      <c r="H62" s="148"/>
      <c r="I62" s="148"/>
      <c r="J62" s="148"/>
      <c r="K62" s="148"/>
      <c r="L62" s="154"/>
      <c r="M62" s="154"/>
      <c r="N62" s="154"/>
      <c r="O62" s="154"/>
      <c r="P62" s="154"/>
      <c r="Q62" s="154"/>
      <c r="R62" s="175"/>
    </row>
    <row r="63" spans="1:18" s="153" customFormat="1" ht="20.05" customHeight="1">
      <c r="A63" s="148"/>
      <c r="B63" s="154"/>
      <c r="C63" s="154"/>
      <c r="D63" s="154"/>
      <c r="E63" s="148"/>
      <c r="F63" s="154"/>
      <c r="G63" s="154"/>
      <c r="H63" s="148"/>
      <c r="I63" s="148"/>
      <c r="J63" s="148"/>
      <c r="K63" s="148"/>
      <c r="L63" s="154"/>
      <c r="M63" s="154"/>
      <c r="N63" s="154"/>
      <c r="O63" s="154"/>
      <c r="P63" s="154"/>
      <c r="Q63" s="154"/>
      <c r="R63" s="175"/>
    </row>
    <row r="64" spans="1:18" s="153" customFormat="1" ht="20.05" customHeight="1">
      <c r="A64" s="148"/>
      <c r="B64" s="154"/>
      <c r="C64" s="154"/>
      <c r="D64" s="154"/>
      <c r="E64" s="148"/>
      <c r="F64" s="154"/>
      <c r="G64" s="154"/>
      <c r="H64" s="148"/>
      <c r="I64" s="148"/>
      <c r="J64" s="148"/>
      <c r="K64" s="148"/>
      <c r="L64" s="154"/>
      <c r="M64" s="154"/>
      <c r="N64" s="154"/>
      <c r="O64" s="154"/>
      <c r="P64" s="154"/>
      <c r="Q64" s="154"/>
      <c r="R64" s="175"/>
    </row>
    <row r="65" spans="1:18" s="153" customFormat="1" ht="20.05" customHeight="1">
      <c r="A65" s="148"/>
      <c r="B65" s="154"/>
      <c r="C65" s="154"/>
      <c r="D65" s="154"/>
      <c r="E65" s="148"/>
      <c r="F65" s="154"/>
      <c r="G65" s="154"/>
      <c r="H65" s="148"/>
      <c r="I65" s="148"/>
      <c r="J65" s="148"/>
      <c r="K65" s="148"/>
      <c r="L65" s="154"/>
      <c r="M65" s="154"/>
      <c r="N65" s="154"/>
      <c r="O65" s="154"/>
      <c r="P65" s="154"/>
      <c r="Q65" s="154"/>
      <c r="R65" s="175"/>
    </row>
    <row r="66" spans="1:18" s="153" customFormat="1" ht="20.05" customHeight="1">
      <c r="A66" s="148"/>
      <c r="B66" s="154"/>
      <c r="C66" s="154"/>
      <c r="D66" s="154"/>
      <c r="E66" s="148"/>
      <c r="F66" s="154"/>
      <c r="G66" s="154"/>
      <c r="H66" s="148"/>
      <c r="I66" s="148"/>
      <c r="J66" s="148"/>
      <c r="K66" s="148"/>
      <c r="L66" s="154"/>
      <c r="M66" s="154"/>
      <c r="N66" s="154"/>
      <c r="O66" s="154"/>
      <c r="P66" s="154"/>
      <c r="Q66" s="154"/>
      <c r="R66" s="175"/>
    </row>
    <row r="67" spans="1:18" s="153" customFormat="1" ht="20.05" customHeight="1">
      <c r="A67" s="148"/>
      <c r="B67" s="154"/>
      <c r="C67" s="154"/>
      <c r="D67" s="154"/>
      <c r="E67" s="148"/>
      <c r="F67" s="154"/>
      <c r="G67" s="154"/>
      <c r="H67" s="148"/>
      <c r="I67" s="148"/>
      <c r="J67" s="148"/>
      <c r="K67" s="148"/>
      <c r="L67" s="154"/>
      <c r="M67" s="154"/>
      <c r="N67" s="154"/>
      <c r="O67" s="154"/>
      <c r="P67" s="154"/>
      <c r="Q67" s="154"/>
      <c r="R67" s="175"/>
    </row>
    <row r="68" spans="1:18" s="153" customFormat="1" ht="20.05" customHeight="1">
      <c r="A68" s="148"/>
      <c r="B68" s="154"/>
      <c r="C68" s="154"/>
      <c r="D68" s="154"/>
      <c r="E68" s="148"/>
      <c r="F68" s="154"/>
      <c r="G68" s="154"/>
      <c r="H68" s="148"/>
      <c r="I68" s="148"/>
      <c r="J68" s="148"/>
      <c r="K68" s="148"/>
      <c r="L68" s="154"/>
      <c r="M68" s="154"/>
      <c r="N68" s="154"/>
      <c r="O68" s="154"/>
      <c r="P68" s="154"/>
      <c r="Q68" s="154"/>
      <c r="R68" s="175"/>
    </row>
    <row r="69" spans="1:18" s="153" customFormat="1" ht="20.05" customHeight="1">
      <c r="A69" s="148"/>
      <c r="B69" s="154"/>
      <c r="C69" s="154"/>
      <c r="D69" s="154"/>
      <c r="E69" s="148"/>
      <c r="F69" s="154"/>
      <c r="G69" s="154"/>
      <c r="H69" s="148"/>
      <c r="I69" s="148"/>
      <c r="J69" s="148"/>
      <c r="K69" s="148"/>
      <c r="L69" s="154"/>
      <c r="M69" s="154"/>
      <c r="N69" s="154"/>
      <c r="O69" s="154"/>
      <c r="P69" s="154"/>
      <c r="Q69" s="154"/>
      <c r="R69" s="175"/>
    </row>
    <row r="70" spans="1:18" s="153" customFormat="1" ht="20.05" customHeight="1">
      <c r="A70" s="148"/>
      <c r="B70" s="154"/>
      <c r="C70" s="154"/>
      <c r="D70" s="154"/>
      <c r="E70" s="148"/>
      <c r="F70" s="154"/>
      <c r="G70" s="154"/>
      <c r="H70" s="148"/>
      <c r="I70" s="148"/>
      <c r="J70" s="148"/>
      <c r="K70" s="148"/>
      <c r="L70" s="154"/>
      <c r="M70" s="154"/>
      <c r="N70" s="154"/>
      <c r="O70" s="154"/>
      <c r="P70" s="154"/>
      <c r="Q70" s="154"/>
      <c r="R70" s="175"/>
    </row>
    <row r="71" spans="1:18" s="153" customFormat="1" ht="20.05" customHeight="1">
      <c r="A71" s="148"/>
      <c r="B71" s="154"/>
      <c r="C71" s="154"/>
      <c r="D71" s="154"/>
      <c r="E71" s="148"/>
      <c r="F71" s="154"/>
      <c r="G71" s="154"/>
      <c r="H71" s="152"/>
      <c r="I71" s="148"/>
      <c r="J71" s="154"/>
      <c r="K71" s="148"/>
      <c r="L71" s="154"/>
      <c r="M71" s="154"/>
      <c r="N71" s="154"/>
      <c r="O71" s="154"/>
      <c r="P71" s="154"/>
      <c r="Q71" s="154"/>
      <c r="R71" s="175"/>
    </row>
    <row r="72" spans="1:18" s="153" customFormat="1" ht="20.05" customHeight="1">
      <c r="A72" s="148"/>
      <c r="B72" s="154"/>
      <c r="C72" s="154"/>
      <c r="D72" s="154"/>
      <c r="E72" s="148"/>
      <c r="F72" s="154"/>
      <c r="G72" s="154"/>
      <c r="H72" s="152"/>
      <c r="I72" s="148"/>
      <c r="J72" s="154"/>
      <c r="K72" s="148"/>
      <c r="L72" s="154"/>
      <c r="M72" s="154"/>
      <c r="N72" s="154"/>
      <c r="O72" s="154"/>
      <c r="P72" s="154"/>
      <c r="Q72" s="154"/>
      <c r="R72" s="175"/>
    </row>
    <row r="73" spans="1:18" s="153" customFormat="1" ht="20.05" customHeight="1">
      <c r="A73" s="148"/>
      <c r="B73" s="154"/>
      <c r="C73" s="154"/>
      <c r="D73" s="154"/>
      <c r="E73" s="148"/>
      <c r="F73" s="154"/>
      <c r="G73" s="154"/>
      <c r="H73" s="152"/>
      <c r="I73" s="148"/>
      <c r="J73" s="154"/>
      <c r="K73" s="148"/>
      <c r="L73" s="154"/>
      <c r="M73" s="154"/>
      <c r="N73" s="154"/>
      <c r="O73" s="154"/>
      <c r="P73" s="154"/>
      <c r="Q73" s="154"/>
      <c r="R73" s="175"/>
    </row>
    <row r="74" spans="1:18" s="153" customFormat="1" ht="20.05" customHeight="1">
      <c r="A74" s="148"/>
      <c r="B74" s="154"/>
      <c r="C74" s="154"/>
      <c r="D74" s="154"/>
      <c r="E74" s="148"/>
      <c r="F74" s="154"/>
      <c r="G74" s="154"/>
      <c r="H74" s="152"/>
      <c r="I74" s="148"/>
      <c r="J74" s="154"/>
      <c r="K74" s="148"/>
      <c r="L74" s="154"/>
      <c r="M74" s="154"/>
      <c r="N74" s="154"/>
      <c r="O74" s="154"/>
      <c r="P74" s="154"/>
      <c r="Q74" s="154"/>
      <c r="R74" s="175"/>
    </row>
    <row r="75" spans="1:18" s="153" customFormat="1" ht="20.05" customHeight="1">
      <c r="A75" s="148"/>
      <c r="B75" s="154"/>
      <c r="C75" s="154"/>
      <c r="D75" s="154"/>
      <c r="E75" s="148"/>
      <c r="F75" s="154"/>
      <c r="G75" s="154"/>
      <c r="H75" s="152"/>
      <c r="I75" s="148"/>
      <c r="J75" s="154"/>
      <c r="K75" s="148"/>
      <c r="L75" s="154"/>
      <c r="M75" s="154"/>
      <c r="N75" s="154"/>
      <c r="O75" s="154"/>
      <c r="P75" s="154"/>
      <c r="Q75" s="154"/>
      <c r="R75" s="175"/>
    </row>
    <row r="76" spans="1:18" s="153" customFormat="1" ht="20.05" customHeight="1">
      <c r="A76" s="148"/>
      <c r="B76" s="154"/>
      <c r="C76" s="154"/>
      <c r="D76" s="154"/>
      <c r="E76" s="148"/>
      <c r="F76" s="154"/>
      <c r="G76" s="154"/>
      <c r="H76" s="152"/>
      <c r="I76" s="148"/>
      <c r="J76" s="154"/>
      <c r="K76" s="148"/>
      <c r="L76" s="154"/>
      <c r="M76" s="154"/>
      <c r="N76" s="154"/>
      <c r="O76" s="154"/>
      <c r="P76" s="154"/>
      <c r="Q76" s="154"/>
      <c r="R76" s="175"/>
    </row>
    <row r="77" spans="1:18" s="153" customFormat="1" ht="20.05" customHeight="1">
      <c r="A77" s="148"/>
      <c r="B77" s="154"/>
      <c r="C77" s="154"/>
      <c r="D77" s="154"/>
      <c r="E77" s="148"/>
      <c r="F77" s="154"/>
      <c r="G77" s="154"/>
      <c r="H77" s="152"/>
      <c r="I77" s="148"/>
      <c r="J77" s="154"/>
      <c r="K77" s="148"/>
      <c r="L77" s="154"/>
      <c r="M77" s="154"/>
      <c r="N77" s="154"/>
      <c r="O77" s="154"/>
      <c r="P77" s="154"/>
      <c r="Q77" s="154"/>
      <c r="R77" s="175"/>
    </row>
    <row r="78" spans="1:18" s="153" customFormat="1" ht="20.05" customHeight="1">
      <c r="A78" s="156"/>
      <c r="B78" s="155"/>
      <c r="C78" s="155"/>
      <c r="D78" s="155"/>
      <c r="E78" s="156"/>
      <c r="F78" s="155"/>
      <c r="G78" s="155"/>
      <c r="H78" s="157"/>
      <c r="I78" s="156"/>
      <c r="J78" s="155"/>
      <c r="K78" s="156"/>
      <c r="L78" s="155"/>
      <c r="M78" s="155"/>
      <c r="N78" s="155"/>
      <c r="O78" s="155"/>
      <c r="P78" s="155"/>
      <c r="Q78" s="155"/>
      <c r="R78" s="176"/>
    </row>
    <row r="79" spans="1:18" s="153" customFormat="1" ht="20.05" customHeight="1">
      <c r="A79" s="148"/>
      <c r="B79" s="154"/>
      <c r="C79" s="154"/>
      <c r="D79" s="154"/>
      <c r="E79" s="148"/>
      <c r="F79" s="154"/>
      <c r="G79" s="154"/>
      <c r="H79" s="152"/>
      <c r="I79" s="148"/>
      <c r="J79" s="148"/>
      <c r="K79" s="148"/>
      <c r="L79" s="154"/>
      <c r="M79" s="154"/>
      <c r="N79" s="154"/>
      <c r="O79" s="154"/>
      <c r="P79" s="154"/>
      <c r="Q79" s="154"/>
      <c r="R79" s="175"/>
    </row>
    <row r="80" spans="1:18" s="153" customFormat="1" ht="20.05" customHeight="1">
      <c r="A80" s="148"/>
      <c r="B80" s="154"/>
      <c r="C80" s="154"/>
      <c r="D80" s="154"/>
      <c r="E80" s="148"/>
      <c r="F80" s="154"/>
      <c r="G80" s="154"/>
      <c r="H80" s="152"/>
      <c r="I80" s="148"/>
      <c r="J80" s="148"/>
      <c r="K80" s="148"/>
      <c r="L80" s="154"/>
      <c r="M80" s="154"/>
      <c r="N80" s="154"/>
      <c r="O80" s="154"/>
      <c r="P80" s="154"/>
      <c r="Q80" s="154"/>
      <c r="R80" s="176"/>
    </row>
    <row r="81" spans="1:18" s="153" customFormat="1" ht="20.05" customHeight="1">
      <c r="A81" s="148"/>
      <c r="B81" s="154"/>
      <c r="C81" s="154"/>
      <c r="D81" s="154"/>
      <c r="E81" s="148"/>
      <c r="F81" s="154"/>
      <c r="G81" s="154"/>
      <c r="H81" s="152"/>
      <c r="I81" s="148"/>
      <c r="J81" s="148"/>
      <c r="K81" s="148"/>
      <c r="L81" s="154"/>
      <c r="M81" s="154"/>
      <c r="N81" s="154"/>
      <c r="O81" s="154"/>
      <c r="P81" s="154"/>
      <c r="Q81" s="154"/>
      <c r="R81" s="176"/>
    </row>
    <row r="82" spans="1:18" s="153" customFormat="1" ht="20.05" customHeight="1">
      <c r="A82" s="164"/>
      <c r="B82" s="165"/>
      <c r="C82" s="165"/>
      <c r="D82" s="165"/>
      <c r="E82" s="164"/>
      <c r="F82" s="165"/>
      <c r="G82" s="165"/>
      <c r="H82" s="166"/>
      <c r="I82" s="164"/>
      <c r="J82" s="68"/>
      <c r="K82" s="68"/>
      <c r="L82" s="165"/>
      <c r="M82" s="165"/>
      <c r="N82" s="165"/>
      <c r="O82" s="165"/>
      <c r="P82" s="165"/>
      <c r="Q82" s="165"/>
      <c r="R82" s="177"/>
    </row>
    <row r="83" spans="1:18" s="149" customFormat="1" ht="20.05" customHeight="1">
      <c r="A83" s="167"/>
      <c r="B83" s="168"/>
      <c r="C83" s="168"/>
      <c r="D83" s="168"/>
      <c r="E83" s="167"/>
      <c r="F83" s="168"/>
      <c r="G83" s="168"/>
      <c r="H83" s="169"/>
      <c r="I83" s="167"/>
      <c r="J83" s="170"/>
      <c r="K83" s="171"/>
      <c r="L83" s="168"/>
      <c r="M83" s="168"/>
      <c r="N83" s="168"/>
      <c r="O83" s="168"/>
      <c r="P83" s="168"/>
      <c r="Q83" s="168"/>
      <c r="R83" s="178"/>
    </row>
    <row r="84" spans="1:18" s="149" customFormat="1" ht="20.05" customHeight="1">
      <c r="A84" s="164"/>
      <c r="B84" s="165"/>
      <c r="C84" s="165"/>
      <c r="D84" s="165"/>
      <c r="E84" s="164"/>
      <c r="F84" s="165"/>
      <c r="G84" s="165"/>
      <c r="H84" s="166"/>
      <c r="I84" s="164"/>
      <c r="J84" s="68"/>
      <c r="K84" s="68"/>
      <c r="L84" s="165"/>
      <c r="M84" s="165"/>
      <c r="N84" s="165"/>
      <c r="O84" s="165"/>
      <c r="P84" s="165"/>
      <c r="Q84" s="165"/>
      <c r="R84" s="177"/>
    </row>
    <row r="85" spans="1:18" s="149" customFormat="1" ht="20.05" customHeight="1">
      <c r="A85" s="164"/>
      <c r="B85" s="165"/>
      <c r="C85" s="165"/>
      <c r="D85" s="165"/>
      <c r="E85" s="164"/>
      <c r="F85" s="165"/>
      <c r="G85" s="165"/>
      <c r="H85" s="172"/>
      <c r="I85" s="164"/>
      <c r="J85" s="68"/>
      <c r="K85" s="68"/>
      <c r="L85" s="165"/>
      <c r="M85" s="165"/>
      <c r="N85" s="165"/>
      <c r="O85" s="165"/>
      <c r="P85" s="165"/>
      <c r="Q85" s="165"/>
      <c r="R85" s="177"/>
    </row>
    <row r="86" spans="1:18" s="149" customFormat="1" ht="20.05" customHeight="1">
      <c r="A86" s="164"/>
      <c r="B86" s="165"/>
      <c r="C86" s="165"/>
      <c r="D86" s="165"/>
      <c r="E86" s="164"/>
      <c r="F86" s="165"/>
      <c r="G86" s="165"/>
      <c r="H86" s="172"/>
      <c r="I86" s="164"/>
      <c r="J86" s="68"/>
      <c r="K86" s="68"/>
      <c r="L86" s="165"/>
      <c r="M86" s="165"/>
      <c r="N86" s="165"/>
      <c r="O86" s="165"/>
      <c r="P86" s="165"/>
      <c r="Q86" s="165"/>
      <c r="R86" s="177"/>
    </row>
    <row r="87" spans="1:18" s="147" customFormat="1" ht="20.05" customHeight="1">
      <c r="A87" s="164"/>
      <c r="B87" s="165"/>
      <c r="C87" s="165"/>
      <c r="D87" s="165"/>
      <c r="E87" s="164"/>
      <c r="F87" s="165"/>
      <c r="G87" s="165"/>
      <c r="H87" s="164"/>
      <c r="I87" s="164"/>
      <c r="J87" s="68"/>
      <c r="K87" s="68"/>
      <c r="L87" s="165"/>
      <c r="M87" s="165"/>
      <c r="N87" s="165"/>
      <c r="O87" s="165"/>
      <c r="P87" s="165"/>
      <c r="Q87" s="165"/>
      <c r="R87" s="177"/>
    </row>
    <row r="88" spans="1:18" ht="25.05" customHeight="1"/>
    <row r="89" spans="1:18" s="137" customFormat="1" ht="25.05" customHeight="1">
      <c r="A89" s="164"/>
      <c r="B89" s="165"/>
      <c r="C89" s="165"/>
      <c r="D89" s="165"/>
      <c r="E89" s="164"/>
      <c r="F89" s="165"/>
      <c r="G89" s="165"/>
      <c r="H89" s="164"/>
      <c r="I89" s="164"/>
      <c r="J89" s="68"/>
      <c r="K89" s="68" t="s">
        <v>1392</v>
      </c>
      <c r="L89" s="165"/>
      <c r="M89" s="165"/>
      <c r="N89" s="165"/>
      <c r="O89" s="165"/>
      <c r="P89" s="165"/>
      <c r="Q89" s="165"/>
      <c r="R89" s="177"/>
    </row>
    <row r="90" spans="1:18" ht="25.05" customHeight="1"/>
    <row r="91" spans="1:18" ht="25.05" customHeight="1"/>
    <row r="92" spans="1:18" ht="25.05" customHeight="1"/>
    <row r="93" spans="1:18" ht="25.05" customHeight="1"/>
    <row r="94" spans="1:18" ht="25.05" customHeight="1"/>
    <row r="95" spans="1:18" ht="25.05" customHeight="1"/>
    <row r="96" spans="1:18" ht="25.05" customHeight="1"/>
    <row r="97" ht="25.05" customHeight="1"/>
    <row r="98" ht="25.05" customHeight="1"/>
    <row r="99" ht="25.05" customHeight="1"/>
    <row r="100" ht="25.05" customHeight="1"/>
    <row r="101" ht="25.05" customHeight="1"/>
    <row r="102" ht="25.05" customHeight="1"/>
    <row r="103" ht="25.05" customHeight="1"/>
    <row r="104" ht="25.05" customHeight="1"/>
    <row r="105" ht="25.05" customHeight="1"/>
    <row r="106" ht="25.05" customHeight="1"/>
    <row r="107" ht="25.05" customHeight="1"/>
    <row r="108" ht="25.05" customHeight="1"/>
    <row r="109" ht="25.05" customHeight="1"/>
    <row r="110" ht="25.05" customHeight="1"/>
    <row r="111" ht="25.05" customHeight="1"/>
    <row r="112" ht="25.05" customHeight="1"/>
    <row r="113" ht="25.05" customHeight="1"/>
    <row r="114" ht="25.05" customHeight="1"/>
    <row r="115" ht="25.05" customHeight="1"/>
    <row r="116" ht="25.05" customHeight="1"/>
    <row r="117" ht="25.05" customHeight="1"/>
    <row r="118" ht="25.05" customHeight="1"/>
    <row r="119" ht="25.05" customHeight="1"/>
    <row r="120" ht="25.05" customHeight="1"/>
    <row r="121" ht="25.05" customHeight="1"/>
    <row r="122" ht="25.05" customHeight="1"/>
    <row r="123" ht="25.05" customHeight="1"/>
    <row r="124" ht="25.05" customHeight="1"/>
    <row r="125" ht="25.05" customHeight="1"/>
    <row r="126" ht="25.05" customHeight="1"/>
    <row r="127" ht="25.05" customHeight="1"/>
    <row r="128" ht="25.05" customHeight="1"/>
    <row r="129" ht="25.05" customHeight="1"/>
    <row r="130" ht="25.05" customHeight="1"/>
    <row r="131" ht="25.05" customHeight="1"/>
    <row r="132" ht="25.05" customHeight="1"/>
    <row r="133" ht="25.05" customHeight="1"/>
    <row r="134" ht="25.05" customHeight="1"/>
    <row r="135" ht="25.05" customHeight="1"/>
    <row r="136" ht="25.05" customHeight="1"/>
    <row r="137" ht="25.05" customHeight="1"/>
    <row r="138" ht="25.05" customHeight="1"/>
    <row r="139" ht="25.05" customHeight="1"/>
    <row r="140" ht="25.05" customHeight="1"/>
    <row r="141" ht="25.05" customHeight="1"/>
    <row r="142" ht="25.05" customHeight="1"/>
    <row r="143" ht="25.05" customHeight="1"/>
    <row r="144" ht="25.05" customHeight="1"/>
    <row r="145" ht="25.05" customHeight="1"/>
    <row r="146" ht="25.05" customHeight="1"/>
    <row r="147" ht="25.05" customHeight="1"/>
    <row r="148" ht="25.05" customHeight="1"/>
    <row r="149" ht="25.05" customHeight="1"/>
    <row r="150" ht="25.05" customHeight="1"/>
    <row r="151" ht="25.05" customHeight="1"/>
    <row r="152" ht="25.05" customHeight="1"/>
    <row r="153" ht="25.05" customHeight="1"/>
    <row r="154" ht="25.05" customHeight="1"/>
    <row r="155" ht="25.05" customHeight="1"/>
    <row r="156" ht="25.05" customHeight="1"/>
    <row r="157" ht="25.05" customHeight="1"/>
    <row r="158" ht="25.05" customHeight="1"/>
    <row r="159" ht="25.05" customHeight="1"/>
    <row r="160" ht="25.05" customHeight="1"/>
    <row r="161" ht="25.05" customHeight="1"/>
    <row r="162" ht="25.05" customHeight="1"/>
    <row r="163" ht="25.05" customHeight="1"/>
    <row r="164" ht="25.05" customHeight="1"/>
    <row r="165" ht="25.05" customHeight="1"/>
    <row r="166" ht="25.05" customHeight="1"/>
    <row r="167" ht="25.05" customHeight="1"/>
    <row r="168" ht="25.05" customHeight="1"/>
    <row r="169" ht="25.05" customHeight="1"/>
    <row r="170" ht="25.05" customHeight="1"/>
    <row r="171" ht="25.05" customHeight="1"/>
    <row r="172" ht="25.05" customHeight="1"/>
    <row r="173" ht="25.05" customHeight="1"/>
    <row r="174" ht="25.05" customHeight="1"/>
    <row r="175" ht="25.05" customHeight="1"/>
    <row r="176" ht="25.05" customHeight="1"/>
    <row r="177" ht="25.05" customHeight="1"/>
    <row r="178" ht="25.05" customHeight="1"/>
    <row r="179" ht="25.05" customHeight="1"/>
    <row r="180" ht="25.05" customHeight="1"/>
    <row r="181" ht="25.05" customHeight="1"/>
    <row r="182" ht="25.05" customHeight="1"/>
    <row r="183" ht="25.05" customHeight="1"/>
    <row r="184" ht="25.05" customHeight="1"/>
    <row r="185" ht="25.05" customHeight="1"/>
    <row r="186" ht="25.05" customHeight="1"/>
    <row r="187" ht="25.05" customHeight="1"/>
    <row r="188" ht="25.05" customHeight="1"/>
    <row r="189" ht="25.05" customHeight="1"/>
    <row r="190" ht="25.05" customHeight="1"/>
    <row r="191" ht="25.05" customHeight="1"/>
    <row r="192" ht="25.05" customHeight="1"/>
    <row r="193" ht="25.05" customHeight="1"/>
    <row r="194" ht="25.05" customHeight="1"/>
    <row r="195" ht="25.05" customHeight="1"/>
    <row r="196" ht="25.05" customHeight="1"/>
    <row r="197" ht="25.05" customHeight="1"/>
    <row r="198" ht="25.05" customHeight="1"/>
    <row r="199" ht="25.05" customHeight="1"/>
    <row r="200" ht="25.05" customHeight="1"/>
    <row r="201" ht="25.05" customHeight="1"/>
    <row r="202" ht="25.05" customHeight="1"/>
    <row r="203" ht="25.05" customHeight="1"/>
    <row r="204" ht="25.05" customHeight="1"/>
    <row r="205" ht="25.05" customHeight="1"/>
    <row r="206" ht="25.05" customHeight="1"/>
    <row r="207" ht="25.05" customHeight="1"/>
    <row r="208" ht="25.05" customHeight="1"/>
    <row r="209" ht="25.05" customHeight="1"/>
    <row r="210" ht="25.05" customHeight="1"/>
    <row r="211" ht="25.05" customHeight="1"/>
    <row r="212" ht="25.05" customHeight="1"/>
    <row r="213" ht="25.05" customHeight="1"/>
    <row r="214" ht="25.05" customHeight="1"/>
    <row r="215" ht="25.05" customHeight="1"/>
    <row r="216" ht="25.05" customHeight="1"/>
    <row r="217" ht="25.05" customHeight="1"/>
    <row r="218" ht="25.05" customHeight="1"/>
    <row r="219" ht="25.05" customHeight="1"/>
    <row r="220" ht="25.05" customHeight="1"/>
    <row r="221" ht="25.05" customHeight="1"/>
    <row r="222" ht="25.05" customHeight="1"/>
    <row r="223" ht="25.05" customHeight="1"/>
    <row r="224" ht="25.05" customHeight="1"/>
    <row r="225" ht="25.05" customHeight="1"/>
    <row r="226" ht="25.05" customHeight="1"/>
    <row r="227" ht="25.05" customHeight="1"/>
    <row r="228" ht="25.05" customHeight="1"/>
    <row r="229" ht="25.05" customHeight="1"/>
    <row r="230" ht="25.05" customHeight="1"/>
    <row r="231" ht="25.05" customHeight="1"/>
    <row r="232" ht="25.05" customHeight="1"/>
    <row r="233" ht="25.05" customHeight="1"/>
    <row r="234" ht="25.05" customHeight="1"/>
    <row r="235" ht="25.05" customHeight="1"/>
    <row r="236" ht="25.05" customHeight="1"/>
    <row r="237" ht="25.05" customHeight="1"/>
    <row r="238" ht="25.05" customHeight="1"/>
    <row r="239" ht="25.05" customHeight="1"/>
    <row r="240" ht="25.05" customHeight="1"/>
    <row r="241" ht="25.05" customHeight="1"/>
    <row r="242" ht="25.05" customHeight="1"/>
    <row r="243" ht="25.05" customHeight="1"/>
    <row r="244" ht="25.05" customHeight="1"/>
    <row r="245" ht="25.05" customHeight="1"/>
    <row r="246" ht="25.05" customHeight="1"/>
    <row r="247" ht="25.05" customHeight="1"/>
    <row r="248" ht="25.05" customHeight="1"/>
    <row r="249" ht="25.05" customHeight="1"/>
    <row r="250" ht="25.05" customHeight="1"/>
    <row r="251" ht="25.05" customHeight="1"/>
    <row r="252" ht="25.05" customHeight="1"/>
    <row r="253" ht="25.05" customHeight="1"/>
    <row r="254" ht="25.05" customHeight="1"/>
    <row r="255" ht="25.05" customHeight="1"/>
    <row r="256" ht="25.05" customHeight="1"/>
    <row r="257" ht="25.05" customHeight="1"/>
    <row r="258" ht="25.05" customHeight="1"/>
    <row r="259" ht="25.05" customHeight="1"/>
    <row r="260" ht="25.05" customHeight="1"/>
    <row r="261" ht="25.05" customHeight="1"/>
    <row r="262" ht="25.05" customHeight="1"/>
    <row r="263" ht="25.05" customHeight="1"/>
    <row r="264" ht="25.05" customHeight="1"/>
    <row r="265" ht="25.05" customHeight="1"/>
    <row r="266" ht="25.05" customHeight="1"/>
    <row r="267" ht="25.05" customHeight="1"/>
    <row r="268" ht="25.05" customHeight="1"/>
    <row r="269" ht="25.05" customHeight="1"/>
    <row r="270" ht="25.05" customHeight="1"/>
    <row r="271" ht="25.05" customHeight="1"/>
    <row r="272" ht="25.05" customHeight="1"/>
    <row r="273" ht="25.05" customHeight="1"/>
    <row r="274" ht="25.05" customHeight="1"/>
    <row r="275" ht="25.05" customHeight="1"/>
    <row r="276" ht="25.05" customHeight="1"/>
    <row r="277" ht="25.05" customHeight="1"/>
    <row r="278" ht="25.05" customHeight="1"/>
    <row r="279" ht="25.05" customHeight="1"/>
    <row r="280" ht="25.05" customHeight="1"/>
    <row r="281" ht="25.05" customHeight="1"/>
    <row r="282" ht="25.05" customHeight="1"/>
    <row r="283" ht="25.05" customHeight="1"/>
    <row r="284" ht="25.05" customHeight="1"/>
    <row r="285" ht="25.05" customHeight="1"/>
    <row r="286" ht="25.05" customHeight="1"/>
    <row r="287" ht="25.05" customHeight="1"/>
    <row r="288" ht="25.05" customHeight="1"/>
    <row r="289" ht="25.05" customHeight="1"/>
    <row r="290" ht="25.05" customHeight="1"/>
    <row r="291" ht="25.05" customHeight="1"/>
    <row r="292" ht="25.05" customHeight="1"/>
    <row r="293" ht="25.05" customHeight="1"/>
    <row r="294" ht="25.05" customHeight="1"/>
    <row r="295" ht="25.05" customHeight="1"/>
    <row r="296" ht="25.05" customHeight="1"/>
    <row r="297" ht="25.05" customHeight="1"/>
    <row r="298" ht="25.05" customHeight="1"/>
    <row r="299" ht="25.05" customHeight="1"/>
    <row r="300" ht="25.05" customHeight="1"/>
    <row r="301" ht="25.05" customHeight="1"/>
    <row r="302" ht="25.05" customHeight="1"/>
    <row r="303" ht="25.05" customHeight="1"/>
    <row r="304" ht="25.05" customHeight="1"/>
    <row r="305" ht="25.05" customHeight="1"/>
    <row r="306" ht="25.05" customHeight="1"/>
    <row r="307" ht="25.05" customHeight="1"/>
    <row r="308" ht="25.05" customHeight="1"/>
    <row r="309" ht="25.05" customHeight="1"/>
    <row r="310" ht="25.05" customHeight="1"/>
    <row r="311" ht="25.05" customHeight="1"/>
    <row r="312" ht="25.05" customHeight="1"/>
    <row r="313" ht="25.05" customHeight="1"/>
    <row r="314" ht="25.05" customHeight="1"/>
    <row r="315" ht="25.05" customHeight="1"/>
    <row r="316" ht="25.05" customHeight="1"/>
    <row r="317" ht="25.05" customHeight="1"/>
    <row r="318" ht="25.05" customHeight="1"/>
    <row r="319" ht="25.05" customHeight="1"/>
    <row r="320" ht="25.05" customHeight="1"/>
    <row r="321" ht="25.05" customHeight="1"/>
    <row r="322" ht="25.05" customHeight="1"/>
    <row r="323" ht="25.05" customHeight="1"/>
    <row r="324" ht="25.05" customHeight="1"/>
    <row r="325" ht="25.05" customHeight="1"/>
    <row r="326" ht="25.05" customHeight="1"/>
    <row r="327" ht="25.05" customHeight="1"/>
    <row r="328" ht="25.05" customHeight="1"/>
    <row r="329" ht="25.05" customHeight="1"/>
    <row r="330" ht="25.05" customHeight="1"/>
    <row r="331" ht="25.05" customHeight="1"/>
    <row r="332" ht="25.05" customHeight="1"/>
    <row r="333" ht="25.05" customHeight="1"/>
    <row r="334" ht="25.05" customHeight="1"/>
    <row r="335" ht="25.05" customHeight="1"/>
    <row r="336" ht="25.05" customHeight="1"/>
    <row r="337" ht="25.05" customHeight="1"/>
    <row r="338" ht="25.05" customHeight="1"/>
    <row r="339" ht="25.05" customHeight="1"/>
    <row r="340" ht="25.05" customHeight="1"/>
    <row r="341" ht="25.05" customHeight="1"/>
    <row r="342" ht="25.05" customHeight="1"/>
    <row r="343" ht="25.05" customHeight="1"/>
    <row r="344" ht="25.05" customHeight="1"/>
    <row r="345" ht="25.05" customHeight="1"/>
    <row r="346" ht="25.05" customHeight="1"/>
    <row r="347" ht="25.05" customHeight="1"/>
    <row r="348" ht="25.05" customHeight="1"/>
    <row r="349" ht="25.05" customHeight="1"/>
    <row r="350" ht="25.05" customHeight="1"/>
    <row r="351" ht="25.05" customHeight="1"/>
    <row r="352" ht="25.05" customHeight="1"/>
    <row r="353" ht="25.05" customHeight="1"/>
    <row r="354" ht="25.05" customHeight="1"/>
    <row r="355" ht="25.05" customHeight="1"/>
    <row r="356" ht="25.05" customHeight="1"/>
    <row r="357" ht="25.05" customHeight="1"/>
    <row r="358" ht="25.05" customHeight="1"/>
    <row r="359" ht="25.05" customHeight="1"/>
    <row r="360" ht="25.05" customHeight="1"/>
    <row r="361" ht="25.05" customHeight="1"/>
    <row r="362" ht="25.05" customHeight="1"/>
    <row r="363" ht="25.05" customHeight="1"/>
    <row r="364" ht="25.05" customHeight="1"/>
    <row r="365" ht="25.05" customHeight="1"/>
    <row r="366" ht="25.05" customHeight="1"/>
    <row r="367" ht="25.05" customHeight="1"/>
    <row r="368" ht="25.05" customHeight="1"/>
    <row r="369" ht="25.05" customHeight="1"/>
    <row r="370" ht="25.05" customHeight="1"/>
    <row r="371" ht="25.05" customHeight="1"/>
    <row r="372" ht="25.05" customHeight="1"/>
    <row r="373" ht="25.05" customHeight="1"/>
    <row r="374" ht="25.05" customHeight="1"/>
    <row r="375" ht="25.05" customHeight="1"/>
    <row r="376" ht="25.05" customHeight="1"/>
    <row r="377" ht="25.05" customHeight="1"/>
    <row r="378" ht="25.05" customHeight="1"/>
    <row r="379" ht="25.05" customHeight="1"/>
    <row r="380" ht="25.05" customHeight="1"/>
    <row r="381" ht="25.05" customHeight="1"/>
    <row r="382" ht="25.05" customHeight="1"/>
    <row r="383" ht="25.05" customHeight="1"/>
    <row r="384" ht="25.05" customHeight="1"/>
    <row r="385" ht="25.05" customHeight="1"/>
    <row r="386" ht="25.05" customHeight="1"/>
    <row r="387" ht="25.05" customHeight="1"/>
    <row r="388" ht="25.05" customHeight="1"/>
    <row r="389" ht="25.05" customHeight="1"/>
    <row r="390" ht="25.05" customHeight="1"/>
    <row r="391" ht="25.05" customHeight="1"/>
    <row r="392" ht="25.05" customHeight="1"/>
    <row r="393" ht="25.05" customHeight="1"/>
    <row r="394" ht="25.05" customHeight="1"/>
    <row r="395" ht="25.05" customHeight="1"/>
    <row r="396" ht="25.05" customHeight="1"/>
    <row r="397" ht="25.05" customHeight="1"/>
    <row r="398" ht="25.05" customHeight="1"/>
    <row r="399" ht="25.05" customHeight="1"/>
    <row r="400" ht="25.05" customHeight="1"/>
    <row r="401" ht="25.05" customHeight="1"/>
    <row r="402" ht="25.05" customHeight="1"/>
    <row r="403" ht="25.05" customHeight="1"/>
    <row r="404" ht="25.05" customHeight="1"/>
    <row r="405" ht="25.05" customHeight="1"/>
    <row r="406" ht="25.05" customHeight="1"/>
    <row r="407" ht="25.05" customHeight="1"/>
    <row r="408" ht="25.05" customHeight="1"/>
    <row r="409" ht="25.05" customHeight="1"/>
    <row r="410" ht="25.05" customHeight="1"/>
    <row r="411" ht="25.05" customHeight="1"/>
    <row r="412" ht="25.05" customHeight="1"/>
    <row r="413" ht="25.05" customHeight="1"/>
    <row r="414" ht="25.05" customHeight="1"/>
    <row r="415" ht="25.05" customHeight="1"/>
    <row r="416" ht="25.05" customHeight="1"/>
    <row r="417" ht="25.05" customHeight="1"/>
    <row r="418" ht="25.05" customHeight="1"/>
    <row r="419" ht="25.05" customHeight="1"/>
    <row r="420" ht="25.05" customHeight="1"/>
    <row r="421" ht="25.05" customHeight="1"/>
    <row r="422" ht="25.05" customHeight="1"/>
    <row r="423" ht="25.05" customHeight="1"/>
    <row r="424" ht="25.05" customHeight="1"/>
    <row r="425" ht="25.05" customHeight="1"/>
    <row r="426" ht="25.05" customHeight="1"/>
    <row r="427" ht="25.05" customHeight="1"/>
    <row r="428" ht="25.05" customHeight="1"/>
    <row r="429" ht="25.05" customHeight="1"/>
    <row r="430" ht="25.05" customHeight="1"/>
    <row r="431" ht="25.05" customHeight="1"/>
    <row r="432" ht="25.05" customHeight="1"/>
    <row r="433" ht="25.05" customHeight="1"/>
    <row r="434" ht="25.05" customHeight="1"/>
    <row r="435" ht="25.05" customHeight="1"/>
    <row r="436" ht="25.05" customHeight="1"/>
    <row r="437" ht="25.05" customHeight="1"/>
    <row r="438" ht="25.05" customHeight="1"/>
    <row r="439" ht="25.05" customHeight="1"/>
    <row r="440" ht="25.05" customHeight="1"/>
    <row r="441" ht="25.05" customHeight="1"/>
    <row r="442" ht="25.05" customHeight="1"/>
    <row r="443" ht="25.05" customHeight="1"/>
    <row r="444" ht="25.05" customHeight="1"/>
    <row r="445" ht="25.05" customHeight="1"/>
    <row r="446" ht="25.05" customHeight="1"/>
    <row r="447" ht="25.05" customHeight="1"/>
    <row r="448" ht="25.05" customHeight="1"/>
    <row r="449" ht="25.05" customHeight="1"/>
    <row r="450" ht="25.05" customHeight="1"/>
    <row r="451" ht="25.05" customHeight="1"/>
    <row r="452" ht="25.05" customHeight="1"/>
    <row r="453" ht="25.05" customHeight="1"/>
    <row r="454" ht="25.05" customHeight="1"/>
    <row r="455" ht="25.05" customHeight="1"/>
    <row r="456" ht="25.05" customHeight="1"/>
    <row r="457" ht="25.05" customHeight="1"/>
    <row r="458" ht="25.05" customHeight="1"/>
    <row r="459" ht="25.05" customHeight="1"/>
    <row r="460" ht="25.05" customHeight="1"/>
    <row r="461" ht="25.05" customHeight="1"/>
    <row r="462" ht="25.05" customHeight="1"/>
    <row r="463" ht="25.05" customHeight="1"/>
    <row r="464" ht="25.05" customHeight="1"/>
    <row r="465" ht="25.05" customHeight="1"/>
    <row r="466" ht="25.05" customHeight="1"/>
    <row r="467" ht="25.05" customHeight="1"/>
    <row r="468" ht="25.05" customHeight="1"/>
    <row r="469" ht="25.05" customHeight="1"/>
    <row r="470" ht="25.05" customHeight="1"/>
    <row r="471" ht="25.05" customHeight="1"/>
    <row r="472" ht="25.05" customHeight="1"/>
    <row r="473" ht="25.05" customHeight="1"/>
    <row r="474" ht="25.05" customHeight="1"/>
    <row r="475" ht="25.05" customHeight="1"/>
    <row r="476" ht="25.05" customHeight="1"/>
    <row r="477" ht="25.05" customHeight="1"/>
    <row r="478" ht="25.05" customHeight="1"/>
    <row r="479" ht="25.05" customHeight="1"/>
    <row r="480" ht="25.05" customHeight="1"/>
    <row r="481" ht="25.05" customHeight="1"/>
    <row r="482" ht="25.05" customHeight="1"/>
    <row r="483" ht="25.05" customHeight="1"/>
    <row r="484" ht="25.05" customHeight="1"/>
    <row r="485" ht="25.05" customHeight="1"/>
    <row r="486" ht="25.05" customHeight="1"/>
    <row r="487" ht="25.05" customHeight="1"/>
    <row r="488" ht="25.05" customHeight="1"/>
    <row r="489" ht="25.05" customHeight="1"/>
    <row r="490" ht="25.05" customHeight="1"/>
    <row r="491" ht="25.05" customHeight="1"/>
    <row r="492" ht="25.05" customHeight="1"/>
    <row r="493" ht="25.05" customHeight="1"/>
    <row r="494" ht="25.05" customHeight="1"/>
    <row r="495" ht="25.05" customHeight="1"/>
    <row r="496" ht="25.05" customHeight="1"/>
    <row r="497" ht="25.05" customHeight="1"/>
    <row r="498" ht="25.05" customHeight="1"/>
    <row r="499" ht="25.05" customHeight="1"/>
    <row r="500" ht="25.05" customHeight="1"/>
    <row r="501" ht="25.05" customHeight="1"/>
    <row r="502" ht="25.05" customHeight="1"/>
    <row r="503" ht="25.05" customHeight="1"/>
    <row r="504" ht="25.05" customHeight="1"/>
    <row r="505" ht="25.05" customHeight="1"/>
    <row r="506" ht="25.05" customHeight="1"/>
    <row r="507" ht="25.05" customHeight="1"/>
    <row r="508" ht="25.05" customHeight="1"/>
    <row r="509" ht="25.05" customHeight="1"/>
    <row r="510" ht="25.05" customHeight="1"/>
    <row r="511" ht="25.05" customHeight="1"/>
    <row r="512" ht="25.05" customHeight="1"/>
    <row r="513" ht="25.05" customHeight="1"/>
    <row r="514" ht="25.05" customHeight="1"/>
    <row r="515" ht="25.05" customHeight="1"/>
    <row r="516" ht="25.05" customHeight="1"/>
    <row r="517" ht="25.05" customHeight="1"/>
    <row r="518" ht="25.05" customHeight="1"/>
    <row r="519" ht="25.05" customHeight="1"/>
    <row r="520" ht="25.05" customHeight="1"/>
    <row r="521" ht="25.05" customHeight="1"/>
    <row r="522" ht="25.05" customHeight="1"/>
    <row r="523" ht="25.05" customHeight="1"/>
    <row r="524" ht="25.05" customHeight="1"/>
    <row r="525" ht="25.05" customHeight="1"/>
    <row r="526" ht="25.05" customHeight="1"/>
    <row r="527" ht="25.05" customHeight="1"/>
    <row r="528" ht="25.05" customHeight="1"/>
    <row r="529" ht="25.05" customHeight="1"/>
    <row r="530" ht="25.05" customHeight="1"/>
    <row r="531" ht="25.05" customHeight="1"/>
    <row r="532" ht="25.05" customHeight="1"/>
    <row r="533" ht="25.05" customHeight="1"/>
    <row r="534" ht="25.05" customHeight="1"/>
    <row r="535" ht="25.05" customHeight="1"/>
    <row r="536" ht="25.05" customHeight="1"/>
    <row r="537" ht="25.05" customHeight="1"/>
    <row r="538" ht="25.05" customHeight="1"/>
    <row r="539" ht="25.05" customHeight="1"/>
    <row r="540" ht="25.05" customHeight="1"/>
    <row r="541" ht="25.05" customHeight="1"/>
    <row r="542" ht="25.05" customHeight="1"/>
    <row r="543" ht="25.05" customHeight="1"/>
    <row r="544" ht="25.05" customHeight="1"/>
    <row r="545" ht="25.05" customHeight="1"/>
    <row r="546" ht="25.05" customHeight="1"/>
    <row r="547" ht="25.05" customHeight="1"/>
    <row r="548" ht="25.05" customHeight="1"/>
    <row r="549" ht="25.05" customHeight="1"/>
    <row r="550" ht="25.05" customHeight="1"/>
    <row r="551" ht="25.05" customHeight="1"/>
    <row r="552" ht="25.05" customHeight="1"/>
    <row r="553" ht="25.05" customHeight="1"/>
    <row r="554" ht="25.05" customHeight="1"/>
    <row r="555" ht="25.05" customHeight="1"/>
    <row r="556" ht="25.05" customHeight="1"/>
    <row r="557" ht="25.05" customHeight="1"/>
    <row r="558" ht="25.05" customHeight="1"/>
    <row r="559" ht="25.05" customHeight="1"/>
    <row r="560" ht="25.05" customHeight="1"/>
    <row r="561" ht="25.05" customHeight="1"/>
    <row r="562" ht="25.05" customHeight="1"/>
    <row r="563" ht="25.05" customHeight="1"/>
    <row r="564" ht="25.05" customHeight="1"/>
    <row r="565" ht="25.05" customHeight="1"/>
    <row r="566" ht="25.05" customHeight="1"/>
    <row r="567" ht="25.05" customHeight="1"/>
    <row r="568" ht="25.05" customHeight="1"/>
    <row r="569" ht="25.05" customHeight="1"/>
    <row r="570" ht="25.05" customHeight="1"/>
    <row r="571" ht="25.05" customHeight="1"/>
    <row r="572" ht="25.05" customHeight="1"/>
    <row r="573" ht="25.05" customHeight="1"/>
    <row r="574" ht="25.05" customHeight="1"/>
    <row r="575" ht="25.05" customHeight="1"/>
    <row r="576" ht="25.05" customHeight="1"/>
    <row r="577" ht="25.05" customHeight="1"/>
    <row r="578" ht="25.05" customHeight="1"/>
    <row r="579" ht="25.05" customHeight="1"/>
    <row r="580" ht="25.05" customHeight="1"/>
    <row r="581" ht="25.05" customHeight="1"/>
    <row r="582" ht="25.05" customHeight="1"/>
    <row r="583" ht="25.05" customHeight="1"/>
    <row r="584" ht="25.05" customHeight="1"/>
    <row r="585" ht="25.05" customHeight="1"/>
    <row r="586" ht="25.05" customHeight="1"/>
    <row r="587" ht="25.05" customHeight="1"/>
    <row r="588" ht="25.05" customHeight="1"/>
    <row r="589" ht="25.05" customHeight="1"/>
    <row r="590" ht="25.05" customHeight="1"/>
    <row r="591" ht="25.05" customHeight="1"/>
    <row r="592" ht="25.05" customHeight="1"/>
    <row r="593" ht="25.05" customHeight="1"/>
    <row r="594" ht="25.05" customHeight="1"/>
    <row r="595" ht="25.05" customHeight="1"/>
    <row r="596" ht="25.05" customHeight="1"/>
    <row r="597" ht="25.05" customHeight="1"/>
    <row r="598" ht="25.05" customHeight="1"/>
    <row r="599" ht="25.05" customHeight="1"/>
    <row r="600" ht="25.05" customHeight="1"/>
    <row r="601" ht="25.05" customHeight="1"/>
    <row r="602" ht="25.05" customHeight="1"/>
    <row r="603" ht="25.05" customHeight="1"/>
    <row r="604" ht="25.05" customHeight="1"/>
    <row r="605" ht="25.05" customHeight="1"/>
    <row r="606" ht="25.05" customHeight="1"/>
    <row r="607" ht="25.05" customHeight="1"/>
    <row r="608" ht="25.05" customHeight="1"/>
    <row r="609" ht="25.05" customHeight="1"/>
    <row r="610" ht="25.05" customHeight="1"/>
    <row r="611" ht="25.05" customHeight="1"/>
    <row r="612" ht="25.05" customHeight="1"/>
    <row r="613" ht="25.05" customHeight="1"/>
    <row r="614" ht="25.05" customHeight="1"/>
    <row r="615" ht="25.05" customHeight="1"/>
    <row r="616" ht="25.05" customHeight="1"/>
    <row r="617" ht="25.05" customHeight="1"/>
    <row r="618" ht="25.05" customHeight="1"/>
    <row r="619" ht="25.05" customHeight="1"/>
    <row r="620" ht="25.05" customHeight="1"/>
    <row r="621" ht="25.05" customHeight="1"/>
    <row r="622" ht="25.05" customHeight="1"/>
    <row r="623" ht="25.05" customHeight="1"/>
    <row r="624" ht="25.05" customHeight="1"/>
    <row r="625" ht="25.05" customHeight="1"/>
    <row r="626" ht="25.05" customHeight="1"/>
    <row r="627" ht="25.05" customHeight="1"/>
    <row r="628" ht="25.05" customHeight="1"/>
    <row r="629" ht="25.05" customHeight="1"/>
    <row r="630" ht="25.05" customHeight="1"/>
    <row r="631" ht="25.05" customHeight="1"/>
    <row r="632" ht="25.05" customHeight="1"/>
    <row r="633" ht="25.05" customHeight="1"/>
    <row r="634" ht="25.05" customHeight="1"/>
    <row r="635" ht="25.05" customHeight="1"/>
    <row r="636" ht="25.05" customHeight="1"/>
    <row r="637" ht="25.05" customHeight="1"/>
    <row r="638" ht="25.05" customHeight="1"/>
    <row r="639" ht="25.05" customHeight="1"/>
    <row r="640" ht="25.05" customHeight="1"/>
    <row r="641" ht="25.05" customHeight="1"/>
    <row r="642" ht="25.05" customHeight="1"/>
    <row r="643" ht="25.05" customHeight="1"/>
    <row r="644" ht="25.05" customHeight="1"/>
    <row r="645" ht="25.05" customHeight="1"/>
    <row r="646" ht="25.05" customHeight="1"/>
    <row r="647" ht="25.05" customHeight="1"/>
    <row r="648" ht="25.05" customHeight="1"/>
    <row r="649" ht="25.05" customHeight="1"/>
    <row r="650" ht="25.05" customHeight="1"/>
    <row r="651" ht="25.05" customHeight="1"/>
    <row r="652" ht="25.05" customHeight="1"/>
    <row r="653" ht="25.05" customHeight="1"/>
    <row r="654" ht="25.05" customHeight="1"/>
    <row r="655" ht="25.05" customHeight="1"/>
    <row r="656" ht="25.05" customHeight="1"/>
    <row r="657" ht="25.05" customHeight="1"/>
    <row r="658" ht="25.05" customHeight="1"/>
    <row r="659" ht="25.05" customHeight="1"/>
    <row r="660" ht="25.05" customHeight="1"/>
    <row r="661" ht="25.05" customHeight="1"/>
    <row r="662" ht="25.05" customHeight="1"/>
    <row r="663" ht="25.05" customHeight="1"/>
    <row r="664" ht="25.05" customHeight="1"/>
    <row r="665" ht="25.05" customHeight="1"/>
    <row r="666" ht="25.05" customHeight="1"/>
    <row r="667" ht="25.05" customHeight="1"/>
    <row r="668" ht="25.05" customHeight="1"/>
    <row r="669" ht="25.05" customHeight="1"/>
    <row r="670" ht="25.05" customHeight="1"/>
    <row r="671" ht="25.05" customHeight="1"/>
    <row r="672" ht="25.05" customHeight="1"/>
    <row r="673" ht="25.05" customHeight="1"/>
    <row r="674" ht="25.05" customHeight="1"/>
    <row r="675" ht="25.05" customHeight="1"/>
    <row r="676" ht="25.05" customHeight="1"/>
    <row r="677" ht="25.05" customHeight="1"/>
    <row r="678" ht="25.05" customHeight="1"/>
    <row r="679" ht="25.05" customHeight="1"/>
    <row r="680" ht="25.05" customHeight="1"/>
    <row r="681" ht="25.05" customHeight="1"/>
    <row r="682" ht="25.05" customHeight="1"/>
    <row r="683" ht="25.05" customHeight="1"/>
    <row r="684" ht="25.05" customHeight="1"/>
    <row r="685" ht="25.05" customHeight="1"/>
    <row r="686" ht="25.05" customHeight="1"/>
    <row r="687" ht="25.05" customHeight="1"/>
    <row r="688" ht="25.05" customHeight="1"/>
    <row r="689" ht="25.05" customHeight="1"/>
    <row r="690" ht="25.05" customHeight="1"/>
    <row r="691" ht="25.05" customHeight="1"/>
    <row r="692" ht="25.05" customHeight="1"/>
    <row r="693" ht="25.05" customHeight="1"/>
    <row r="694" ht="25.05" customHeight="1"/>
    <row r="695" ht="25.05" customHeight="1"/>
    <row r="696" ht="25.05" customHeight="1"/>
    <row r="697" ht="25.05" customHeight="1"/>
    <row r="698" ht="25.05" customHeight="1"/>
    <row r="699" ht="25.05" customHeight="1"/>
    <row r="700" ht="25.05" customHeight="1"/>
    <row r="701" ht="25.05" customHeight="1"/>
    <row r="702" ht="25.05" customHeight="1"/>
    <row r="703" ht="25.05" customHeight="1"/>
    <row r="704" ht="25.05" customHeight="1"/>
    <row r="705" ht="25.05" customHeight="1"/>
    <row r="706" ht="25.05" customHeight="1"/>
    <row r="707" ht="25.05" customHeight="1"/>
    <row r="708" ht="25.05" customHeight="1"/>
    <row r="709" ht="25.05" customHeight="1"/>
    <row r="710" ht="25.05" customHeight="1"/>
    <row r="711" ht="25.05" customHeight="1"/>
    <row r="712" ht="25.05" customHeight="1"/>
    <row r="713" ht="25.05" customHeight="1"/>
    <row r="714" ht="25.05" customHeight="1"/>
    <row r="715" ht="25.05" customHeight="1"/>
    <row r="716" ht="25.05" customHeight="1"/>
    <row r="717" ht="25.05" customHeight="1"/>
    <row r="718" ht="25.05" customHeight="1"/>
    <row r="719" ht="25.05" customHeight="1"/>
    <row r="720" ht="25.05" customHeight="1"/>
    <row r="721" ht="25.05" customHeight="1"/>
    <row r="722" ht="25.05" customHeight="1"/>
    <row r="723" ht="25.05" customHeight="1"/>
    <row r="724" ht="25.05" customHeight="1"/>
    <row r="725" ht="25.05" customHeight="1"/>
    <row r="726" ht="25.05" customHeight="1"/>
    <row r="727" ht="25.05" customHeight="1"/>
    <row r="728" ht="25.05" customHeight="1"/>
    <row r="729" ht="25.05" customHeight="1"/>
    <row r="730" ht="25.05" customHeight="1"/>
    <row r="731" ht="25.05" customHeight="1"/>
    <row r="732" ht="25.05" customHeight="1"/>
    <row r="733" ht="25.05" customHeight="1"/>
    <row r="734" ht="25.05" customHeight="1"/>
    <row r="735" ht="25.05" customHeight="1"/>
    <row r="736" ht="25.05" customHeight="1"/>
    <row r="737" ht="25.05" customHeight="1"/>
    <row r="738" ht="25.05" customHeight="1"/>
    <row r="739" ht="25.05" customHeight="1"/>
    <row r="740" ht="25.05" customHeight="1"/>
    <row r="741" ht="25.05" customHeight="1"/>
    <row r="742" ht="25.05" customHeight="1"/>
    <row r="743" ht="25.05" customHeight="1"/>
    <row r="744" ht="25.05" customHeight="1"/>
    <row r="745" ht="25.05" customHeight="1"/>
    <row r="746" ht="25.05" customHeight="1"/>
    <row r="747" ht="25.05" customHeight="1"/>
    <row r="748" ht="25.05" customHeight="1"/>
    <row r="749" ht="25.05" customHeight="1"/>
    <row r="750" ht="25.05" customHeight="1"/>
    <row r="751" ht="25.05" customHeight="1"/>
    <row r="752" ht="25.05" customHeight="1"/>
    <row r="753" ht="25.05" customHeight="1"/>
    <row r="754" ht="25.05" customHeight="1"/>
    <row r="755" ht="25.05" customHeight="1"/>
    <row r="756" ht="25.05" customHeight="1"/>
    <row r="757" ht="25.05" customHeight="1"/>
    <row r="758" ht="25.05" customHeight="1"/>
    <row r="759" ht="25.05" customHeight="1"/>
    <row r="760" ht="25.05" customHeight="1"/>
    <row r="761" ht="25.05" customHeight="1"/>
    <row r="762" ht="25.05" customHeight="1"/>
  </sheetData>
  <sortState xmlns:xlrd2="http://schemas.microsoft.com/office/spreadsheetml/2017/richdata2" ref="A2:L742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O35"/>
  <sheetViews>
    <sheetView zoomScale="85" zoomScaleNormal="85" workbookViewId="0">
      <selection activeCell="B30" sqref="B30"/>
    </sheetView>
  </sheetViews>
  <sheetFormatPr baseColWidth="10" defaultRowHeight="12.55"/>
  <cols>
    <col min="1" max="1" width="5.33203125" customWidth="1"/>
    <col min="2" max="2" width="17.33203125" customWidth="1"/>
    <col min="3" max="3" width="3.77734375" customWidth="1"/>
    <col min="4" max="4" width="16.77734375" customWidth="1"/>
    <col min="5" max="5" width="5" customWidth="1"/>
    <col min="6" max="6" width="21.33203125" customWidth="1"/>
    <col min="7" max="7" width="5.21875" customWidth="1"/>
    <col min="8" max="8" width="32.88671875" customWidth="1"/>
    <col min="9" max="9" width="5.21875" customWidth="1"/>
    <col min="10" max="10" width="18.5546875" customWidth="1"/>
    <col min="11" max="11" width="4.109375" customWidth="1"/>
  </cols>
  <sheetData>
    <row r="1" spans="1: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7.5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"/>
      <c r="M2" s="1"/>
      <c r="N2" s="1"/>
      <c r="O2" s="1"/>
    </row>
    <row r="3" spans="1:15" ht="25.7" thickBot="1">
      <c r="A3" s="283" t="s">
        <v>1378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1"/>
      <c r="M3" s="1"/>
      <c r="N3" s="1"/>
      <c r="O3" s="1"/>
    </row>
    <row r="4" spans="1:15" ht="10.050000000000001" customHeight="1" thickTop="1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"/>
      <c r="M4" s="1"/>
      <c r="N4" s="1"/>
      <c r="O4" s="1"/>
    </row>
    <row r="5" spans="1:15" ht="20.05" customHeight="1">
      <c r="A5" s="150"/>
      <c r="B5" s="144" t="s">
        <v>889</v>
      </c>
      <c r="C5" s="129"/>
      <c r="D5" s="182">
        <f>MOD(E5,1000)</f>
        <v>1</v>
      </c>
      <c r="E5" s="162">
        <f>(Hoja3!A23+1)</f>
        <v>1</v>
      </c>
      <c r="F5" s="186" t="s">
        <v>1405</v>
      </c>
      <c r="G5" s="150"/>
      <c r="H5" s="188"/>
      <c r="I5" s="189" t="s">
        <v>1406</v>
      </c>
      <c r="J5" s="189"/>
      <c r="K5" s="163"/>
      <c r="L5" s="1"/>
      <c r="M5" s="1"/>
      <c r="N5" s="179"/>
      <c r="O5" s="1"/>
    </row>
    <row r="6" spans="1:15" ht="10.050000000000001" customHeight="1">
      <c r="A6" s="132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"/>
      <c r="M6" s="1"/>
      <c r="N6" s="1"/>
      <c r="O6" s="1"/>
    </row>
    <row r="7" spans="1:15" ht="20.05" customHeight="1">
      <c r="A7" s="131"/>
      <c r="B7" s="144" t="s">
        <v>1374</v>
      </c>
      <c r="C7" s="129"/>
      <c r="D7" s="183" t="s">
        <v>871</v>
      </c>
      <c r="E7" s="131"/>
      <c r="F7" s="59">
        <f>IF(D7="Femenino",1,IF(D7="Masculino",2,0))</f>
        <v>2</v>
      </c>
      <c r="G7" s="131"/>
      <c r="H7" s="173" t="s">
        <v>1397</v>
      </c>
      <c r="I7" s="131"/>
      <c r="J7" s="187"/>
      <c r="K7" s="131"/>
      <c r="L7" s="1"/>
      <c r="M7" s="1"/>
      <c r="N7" s="179"/>
      <c r="O7" s="1"/>
    </row>
    <row r="8" spans="1:15" ht="10.050000000000001" customHeight="1">
      <c r="A8" s="131"/>
      <c r="B8" s="145"/>
      <c r="C8" s="131"/>
      <c r="D8" s="130"/>
      <c r="E8" s="131"/>
      <c r="F8" s="131"/>
      <c r="G8" s="131"/>
      <c r="H8" s="131"/>
      <c r="I8" s="131"/>
      <c r="J8" s="131"/>
      <c r="K8" s="131"/>
      <c r="L8" s="1"/>
      <c r="M8" s="1"/>
      <c r="N8" s="1"/>
      <c r="O8" s="1"/>
    </row>
    <row r="9" spans="1:15" ht="20.05" customHeight="1">
      <c r="A9" s="131"/>
      <c r="B9" s="144" t="s">
        <v>1375</v>
      </c>
      <c r="C9" s="129"/>
      <c r="D9" s="183" t="s">
        <v>874</v>
      </c>
      <c r="E9" s="131"/>
      <c r="F9" s="140">
        <f>IF(D9="Bebe",1,IF(D9="Infantil",2,IF(D9="Junior",3,IF(D9="Adulto",4,0))))</f>
        <v>4</v>
      </c>
      <c r="G9" s="131"/>
      <c r="H9" s="191" t="s">
        <v>1407</v>
      </c>
      <c r="I9" s="131"/>
      <c r="J9" s="191" t="s">
        <v>1032</v>
      </c>
      <c r="K9" s="131"/>
      <c r="L9" s="1"/>
      <c r="M9" s="1"/>
      <c r="N9" s="179"/>
      <c r="O9" s="1"/>
    </row>
    <row r="10" spans="1:15" ht="10.050000000000001" customHeight="1">
      <c r="A10" s="131"/>
      <c r="B10" s="145"/>
      <c r="C10" s="131"/>
      <c r="D10" s="130"/>
      <c r="E10" s="131"/>
      <c r="F10" s="131"/>
      <c r="G10" s="131"/>
      <c r="H10" s="131"/>
      <c r="I10" s="131"/>
      <c r="J10" s="131"/>
      <c r="K10" s="131"/>
      <c r="L10" s="1"/>
      <c r="M10" s="1"/>
      <c r="N10" s="1"/>
      <c r="O10" s="1"/>
    </row>
    <row r="11" spans="1:15" ht="20.05" customHeight="1">
      <c r="A11" s="131"/>
      <c r="B11" s="144" t="s">
        <v>1376</v>
      </c>
      <c r="C11" s="129"/>
      <c r="D11" s="183" t="s">
        <v>877</v>
      </c>
      <c r="E11" s="131"/>
      <c r="F11" s="140">
        <f>IF(D11="Camisa",1,IF(D11="Blusa",2,IF(D11="Polo",3,IF(D11="Pantalón",4,0))))</f>
        <v>1</v>
      </c>
      <c r="G11" s="131"/>
      <c r="I11" s="131"/>
      <c r="J11" s="190"/>
      <c r="K11" s="131"/>
      <c r="L11" s="1"/>
      <c r="M11" s="1"/>
      <c r="N11" s="1"/>
      <c r="O11" s="1"/>
    </row>
    <row r="12" spans="1:15" ht="10.050000000000001" customHeight="1">
      <c r="A12" s="131"/>
      <c r="B12" s="145"/>
      <c r="C12" s="131"/>
      <c r="D12" s="130"/>
      <c r="E12" s="131"/>
      <c r="F12" s="131"/>
      <c r="G12" s="131"/>
      <c r="H12" s="187"/>
      <c r="I12" s="187"/>
      <c r="J12" s="187"/>
      <c r="K12" s="131"/>
      <c r="L12" s="1"/>
      <c r="M12" s="1"/>
      <c r="N12" s="1"/>
      <c r="O12" s="1"/>
    </row>
    <row r="13" spans="1:15" ht="20.05" customHeight="1">
      <c r="A13" s="131"/>
      <c r="B13" s="144" t="s">
        <v>520</v>
      </c>
      <c r="C13" s="129"/>
      <c r="D13" s="183" t="s">
        <v>540</v>
      </c>
      <c r="E13" s="131"/>
      <c r="F13" s="140">
        <f>IF(D13="XXS",32,IF(D13="XS",34,IF(D13="S",36,IF(D13="M",38,IF(D13="L",40,IF(D13="XL",42,IF(D13="XXL",44,0)))))))</f>
        <v>36</v>
      </c>
      <c r="G13" s="131"/>
      <c r="H13" s="173" t="s">
        <v>1398</v>
      </c>
      <c r="I13" s="131"/>
      <c r="J13" s="131"/>
      <c r="K13" s="131"/>
      <c r="L13" s="1"/>
      <c r="M13" s="146"/>
      <c r="N13" s="1"/>
      <c r="O13" s="1"/>
    </row>
    <row r="14" spans="1:15" ht="10.050000000000001" customHeight="1">
      <c r="A14" s="131"/>
      <c r="B14" s="145"/>
      <c r="C14" s="131"/>
      <c r="D14" s="130"/>
      <c r="E14" s="131"/>
      <c r="F14" s="131"/>
      <c r="G14" s="131"/>
      <c r="H14" s="131"/>
      <c r="I14" s="131"/>
      <c r="J14" s="131"/>
      <c r="K14" s="131"/>
      <c r="L14" s="1"/>
      <c r="M14" s="1"/>
      <c r="N14" s="1"/>
      <c r="O14" s="1"/>
    </row>
    <row r="15" spans="1:15" ht="20.05" customHeight="1">
      <c r="A15" s="131"/>
      <c r="B15" s="144" t="s">
        <v>904</v>
      </c>
      <c r="C15" s="129"/>
      <c r="D15" s="183" t="s">
        <v>883</v>
      </c>
      <c r="E15" s="131"/>
      <c r="F15" s="140">
        <f>IF(D15="Regular Fit",1,IF(D15="Slem Fit",2,IF(D15="Súper slem Fit",3,IF(D15="Tailored Fit",4,0))))</f>
        <v>2</v>
      </c>
      <c r="G15" s="131"/>
      <c r="H15" s="191" t="s">
        <v>1407</v>
      </c>
      <c r="I15" s="131"/>
      <c r="J15" s="191" t="s">
        <v>1032</v>
      </c>
      <c r="K15" s="131"/>
      <c r="L15" s="1"/>
      <c r="M15" s="1"/>
      <c r="N15" s="1"/>
      <c r="O15" s="1"/>
    </row>
    <row r="16" spans="1:15" ht="10.050000000000001" customHeight="1">
      <c r="A16" s="131"/>
      <c r="B16" s="145"/>
      <c r="C16" s="131"/>
      <c r="D16" s="130"/>
      <c r="E16" s="131"/>
      <c r="F16" s="131"/>
      <c r="G16" s="131"/>
      <c r="H16" s="187"/>
      <c r="I16" s="131"/>
      <c r="J16" s="131"/>
      <c r="K16" s="131"/>
      <c r="L16" s="1"/>
      <c r="M16" s="1"/>
      <c r="N16" s="1"/>
      <c r="O16" s="1"/>
    </row>
    <row r="17" spans="1:15" ht="20.05" customHeight="1">
      <c r="A17" s="131"/>
      <c r="B17" s="144" t="s">
        <v>545</v>
      </c>
      <c r="C17" s="129"/>
      <c r="D17" s="183" t="s">
        <v>899</v>
      </c>
      <c r="E17" s="131"/>
      <c r="F17" s="140">
        <f>IF(D17="Primera",1,IF(D17="Segunda",2,IF(D17="Tercera",3,0)))</f>
        <v>1</v>
      </c>
      <c r="G17" s="131"/>
      <c r="I17" s="131"/>
      <c r="J17" s="190"/>
      <c r="K17" s="131"/>
      <c r="L17" s="1"/>
      <c r="M17" s="1"/>
      <c r="N17" s="143"/>
      <c r="O17" s="1"/>
    </row>
    <row r="18" spans="1:15" ht="10.050000000000001" customHeight="1">
      <c r="A18" s="131"/>
      <c r="B18" s="145"/>
      <c r="C18" s="131"/>
      <c r="D18" s="130"/>
      <c r="E18" s="131"/>
      <c r="F18" s="131"/>
      <c r="G18" s="131"/>
      <c r="H18" s="187"/>
      <c r="I18" s="131"/>
      <c r="J18" s="131"/>
      <c r="K18" s="131"/>
      <c r="L18" s="1"/>
      <c r="M18" s="1"/>
      <c r="N18" s="1"/>
      <c r="O18" s="1"/>
    </row>
    <row r="19" spans="1:15" ht="20.05" customHeight="1">
      <c r="A19" s="131"/>
      <c r="B19" s="144" t="s">
        <v>1383</v>
      </c>
      <c r="C19" s="129"/>
      <c r="D19" s="184">
        <v>43528</v>
      </c>
      <c r="E19" s="131"/>
      <c r="F19" s="131"/>
      <c r="G19" s="131"/>
      <c r="H19" s="173" t="s">
        <v>1399</v>
      </c>
      <c r="I19" s="131"/>
      <c r="K19" s="131"/>
      <c r="L19" s="1"/>
      <c r="M19" s="1"/>
      <c r="N19" s="1"/>
      <c r="O19" s="1"/>
    </row>
    <row r="20" spans="1:15" ht="10.050000000000001" customHeight="1">
      <c r="A20" s="131"/>
      <c r="B20" s="145"/>
      <c r="C20" s="129"/>
      <c r="D20" s="131"/>
      <c r="E20" s="131"/>
      <c r="F20" s="131"/>
      <c r="G20" s="131"/>
      <c r="H20" s="131"/>
      <c r="I20" s="131"/>
      <c r="J20" s="131"/>
      <c r="K20" s="131"/>
      <c r="L20" s="1"/>
      <c r="M20" s="1"/>
      <c r="N20" s="1"/>
      <c r="O20" s="1"/>
    </row>
    <row r="21" spans="1:15" ht="20.05" customHeight="1">
      <c r="A21" s="131"/>
      <c r="B21" s="144" t="s">
        <v>890</v>
      </c>
      <c r="C21" s="129"/>
      <c r="D21" s="181">
        <v>2019</v>
      </c>
      <c r="E21" s="131"/>
      <c r="F21" s="140">
        <f>MOD(D21,100)</f>
        <v>19</v>
      </c>
      <c r="G21" s="131"/>
      <c r="H21" s="191" t="s">
        <v>1407</v>
      </c>
      <c r="I21" s="131"/>
      <c r="J21" s="191" t="s">
        <v>1032</v>
      </c>
      <c r="K21" s="131"/>
      <c r="L21" s="1"/>
      <c r="M21" s="1"/>
      <c r="N21" s="1"/>
      <c r="O21" s="1"/>
    </row>
    <row r="22" spans="1:15" ht="10.050000000000001" customHeight="1">
      <c r="A22" s="131"/>
      <c r="B22" s="145"/>
      <c r="C22" s="129"/>
      <c r="D22" s="145"/>
      <c r="E22" s="145"/>
      <c r="F22" s="145"/>
      <c r="G22" s="131"/>
      <c r="H22" s="131"/>
      <c r="I22" s="131"/>
      <c r="J22" s="131"/>
      <c r="K22" s="131"/>
      <c r="L22" s="1"/>
      <c r="M22" s="1"/>
      <c r="N22" s="1"/>
      <c r="O22" s="1"/>
    </row>
    <row r="23" spans="1:15" ht="20.05" customHeight="1">
      <c r="A23" s="131"/>
      <c r="B23" s="144" t="s">
        <v>1384</v>
      </c>
      <c r="C23" s="129"/>
      <c r="D23" s="183" t="s">
        <v>1385</v>
      </c>
      <c r="E23" s="131"/>
      <c r="F23" s="131"/>
      <c r="G23" s="131"/>
      <c r="H23" s="190"/>
      <c r="I23" s="131"/>
      <c r="J23" s="190"/>
      <c r="K23" s="131"/>
      <c r="L23" s="1"/>
      <c r="M23" s="1"/>
      <c r="N23" s="1"/>
      <c r="O23" s="1"/>
    </row>
    <row r="24" spans="1:15" ht="20.05" customHeight="1">
      <c r="A24" s="131"/>
      <c r="B24" s="145"/>
      <c r="C24" s="129"/>
      <c r="D24" s="145"/>
      <c r="E24" s="131"/>
      <c r="F24" s="131"/>
      <c r="G24" s="131"/>
      <c r="H24" s="131"/>
      <c r="I24" s="131"/>
      <c r="J24" s="131"/>
      <c r="K24" s="131"/>
      <c r="L24" s="1"/>
      <c r="M24" s="1"/>
      <c r="N24" s="1"/>
      <c r="O24" s="1"/>
    </row>
    <row r="25" spans="1:15" ht="20.05" customHeight="1">
      <c r="A25" s="131"/>
      <c r="B25" s="144" t="s">
        <v>1032</v>
      </c>
      <c r="C25" s="129"/>
      <c r="D25" s="185" t="str">
        <f>(F7&amp;F9&amp;F11&amp;D5&amp;F21&amp;F13&amp;F15&amp;F17&amp;F19)</f>
        <v>2411193621</v>
      </c>
      <c r="E25" s="131"/>
      <c r="F25" s="131"/>
      <c r="G25" s="131"/>
      <c r="H25" s="131"/>
      <c r="I25" s="131"/>
      <c r="J25" s="131"/>
      <c r="K25" s="131"/>
      <c r="L25" s="1"/>
      <c r="M25" s="1"/>
      <c r="N25" s="1"/>
      <c r="O25" s="1"/>
    </row>
    <row r="26" spans="1:15" ht="10.050000000000001" customHeight="1" thickBot="1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"/>
      <c r="M26" s="1"/>
      <c r="N26" s="1"/>
      <c r="O26" s="1"/>
    </row>
    <row r="27" spans="1:15" ht="23.8" thickTop="1">
      <c r="A27" s="141"/>
      <c r="B27" s="142"/>
      <c r="C27" s="141"/>
      <c r="D27" s="142"/>
      <c r="E27" s="141"/>
      <c r="F27" s="142"/>
      <c r="G27" s="141"/>
      <c r="H27" s="141"/>
      <c r="I27" s="141"/>
      <c r="J27" s="141"/>
      <c r="K27" s="141"/>
      <c r="L27" s="1"/>
      <c r="M27" s="1"/>
      <c r="N27" s="1"/>
      <c r="O27" s="1"/>
    </row>
    <row r="28" spans="1:15" ht="9.5500000000000007" customHeight="1">
      <c r="A28" s="133"/>
      <c r="B28" s="134"/>
      <c r="C28" s="133"/>
      <c r="D28" s="134"/>
      <c r="E28" s="133"/>
      <c r="F28" s="134"/>
      <c r="G28" s="133"/>
      <c r="H28" s="133"/>
      <c r="I28" s="133"/>
      <c r="J28" s="133"/>
      <c r="K28" s="133"/>
      <c r="L28" s="1"/>
      <c r="M28" s="1"/>
      <c r="N28" s="1"/>
      <c r="O28" s="1"/>
    </row>
    <row r="29" spans="1:15" ht="18.2" customHeight="1">
      <c r="A29" s="138"/>
      <c r="B29" s="139" t="s">
        <v>1390</v>
      </c>
      <c r="C29" s="138"/>
      <c r="D29" s="134"/>
      <c r="E29" s="133"/>
      <c r="F29" s="134"/>
      <c r="G29" s="133"/>
      <c r="H29" s="133"/>
      <c r="I29" s="133"/>
      <c r="J29" s="133"/>
      <c r="K29" s="133"/>
      <c r="L29" s="1"/>
      <c r="M29" s="1"/>
      <c r="N29" s="1"/>
      <c r="O29" s="1"/>
    </row>
    <row r="30" spans="1:15" ht="23.2" customHeight="1">
      <c r="A30" s="133"/>
      <c r="B30" s="160" t="s">
        <v>1389</v>
      </c>
      <c r="C30" s="159"/>
      <c r="D30" s="159"/>
      <c r="E30" s="159"/>
      <c r="F30" s="159"/>
      <c r="G30" s="192"/>
      <c r="H30" s="192"/>
      <c r="I30" s="192"/>
      <c r="J30" s="192"/>
      <c r="K30" s="133"/>
      <c r="L30" s="1"/>
      <c r="M30" s="1"/>
      <c r="N30" s="1"/>
      <c r="O30" s="1"/>
    </row>
    <row r="31" spans="1:15" ht="6.9" customHeight="1">
      <c r="A31" s="132"/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"/>
      <c r="M31" s="1"/>
      <c r="N31" s="1"/>
      <c r="O31" s="1"/>
    </row>
    <row r="32" spans="1: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</sheetData>
  <mergeCells count="1">
    <mergeCell ref="A3:K3"/>
  </mergeCells>
  <dataValidations count="7">
    <dataValidation type="list" allowBlank="1" showInputMessage="1" showErrorMessage="1" sqref="D9" xr:uid="{00000000-0002-0000-0300-000000000000}">
      <formula1>SEGMENTO</formula1>
    </dataValidation>
    <dataValidation type="list" allowBlank="1" showInputMessage="1" showErrorMessage="1" sqref="D7" xr:uid="{00000000-0002-0000-0300-000001000000}">
      <formula1>GENERO</formula1>
    </dataValidation>
    <dataValidation type="list" allowBlank="1" showInputMessage="1" showErrorMessage="1" sqref="D11" xr:uid="{00000000-0002-0000-0300-000002000000}">
      <formula1>PRENDA</formula1>
    </dataValidation>
    <dataValidation type="list" allowBlank="1" showInputMessage="1" showErrorMessage="1" sqref="D13" xr:uid="{00000000-0002-0000-0300-000003000000}">
      <formula1>TALLA</formula1>
    </dataValidation>
    <dataValidation type="list" allowBlank="1" showInputMessage="1" showErrorMessage="1" sqref="D15" xr:uid="{00000000-0002-0000-0300-000004000000}">
      <formula1>FIGURA</formula1>
    </dataValidation>
    <dataValidation type="list" allowBlank="1" showInputMessage="1" showErrorMessage="1" sqref="D17" xr:uid="{00000000-0002-0000-0300-000005000000}">
      <formula1>CALIDAD</formula1>
    </dataValidation>
    <dataValidation type="list" allowBlank="1" showInputMessage="1" showErrorMessage="1" sqref="D23" xr:uid="{00000000-0002-0000-0300-000006000000}">
      <formula1>CLIENTE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27"/>
  <sheetViews>
    <sheetView topLeftCell="A399" workbookViewId="0">
      <selection activeCell="C444" sqref="C444"/>
    </sheetView>
  </sheetViews>
  <sheetFormatPr baseColWidth="10" defaultRowHeight="12.55"/>
  <cols>
    <col min="1" max="1" width="16.109375" bestFit="1" customWidth="1"/>
    <col min="2" max="2" width="10.33203125" customWidth="1"/>
    <col min="3" max="3" width="70.6640625" bestFit="1" customWidth="1"/>
    <col min="4" max="4" width="9.21875" customWidth="1"/>
    <col min="5" max="5" width="0.88671875" customWidth="1"/>
    <col min="6" max="6" width="13.44140625" bestFit="1" customWidth="1"/>
    <col min="7" max="7" width="13.44140625" hidden="1" customWidth="1"/>
    <col min="8" max="8" width="0.88671875" hidden="1" customWidth="1"/>
    <col min="9" max="9" width="11.5546875" customWidth="1"/>
  </cols>
  <sheetData>
    <row r="1" spans="1:9" ht="41.95" customHeight="1">
      <c r="A1" s="5" t="s">
        <v>518</v>
      </c>
      <c r="B1" s="284" t="s">
        <v>910</v>
      </c>
      <c r="C1" s="284"/>
      <c r="D1" s="284"/>
      <c r="E1" s="284"/>
      <c r="F1" s="284"/>
      <c r="G1" s="3"/>
      <c r="H1" s="3"/>
      <c r="I1" s="3"/>
    </row>
    <row r="2" spans="1:9">
      <c r="A2" s="3"/>
      <c r="B2" s="8"/>
      <c r="C2" s="3"/>
      <c r="D2" s="3"/>
      <c r="E2" s="3"/>
      <c r="F2" s="3"/>
      <c r="G2" s="3"/>
      <c r="H2" s="3"/>
      <c r="I2" s="3"/>
    </row>
    <row r="3" spans="1:9">
      <c r="A3" s="3"/>
      <c r="B3" s="8"/>
      <c r="C3" s="3"/>
      <c r="D3" s="3"/>
      <c r="E3" s="3"/>
      <c r="F3" s="3"/>
      <c r="G3" s="3"/>
      <c r="H3" s="3"/>
      <c r="I3" s="3"/>
    </row>
    <row r="4" spans="1:9" ht="13.15">
      <c r="A4" s="14" t="s">
        <v>566</v>
      </c>
      <c r="B4" s="8"/>
      <c r="C4" s="3"/>
      <c r="D4" s="3"/>
      <c r="E4" s="3"/>
      <c r="F4" s="3"/>
      <c r="G4" s="3"/>
      <c r="H4" s="3"/>
      <c r="I4" s="3"/>
    </row>
    <row r="5" spans="1:9" ht="13.15" thickBot="1">
      <c r="A5" s="3"/>
      <c r="B5" s="8"/>
      <c r="C5" s="3"/>
      <c r="D5" s="3"/>
      <c r="E5" s="3"/>
      <c r="F5" s="3"/>
      <c r="G5" s="3"/>
      <c r="H5" s="3"/>
      <c r="I5" s="3"/>
    </row>
    <row r="6" spans="1:9" ht="34.450000000000003" thickBot="1">
      <c r="A6" s="9" t="s">
        <v>0</v>
      </c>
      <c r="B6" s="27" t="s">
        <v>24</v>
      </c>
      <c r="C6" s="9" t="s">
        <v>25</v>
      </c>
      <c r="D6" s="9" t="s">
        <v>907</v>
      </c>
      <c r="E6" s="3"/>
      <c r="F6" s="36" t="s">
        <v>750</v>
      </c>
      <c r="G6" s="28" t="s">
        <v>567</v>
      </c>
      <c r="H6" s="3"/>
      <c r="I6" s="29" t="s">
        <v>909</v>
      </c>
    </row>
    <row r="7" spans="1:9" hidden="1">
      <c r="A7" s="10" t="s">
        <v>1</v>
      </c>
      <c r="B7" s="30" t="s">
        <v>351</v>
      </c>
      <c r="C7" s="4" t="s">
        <v>464</v>
      </c>
      <c r="D7" s="11" t="s">
        <v>3</v>
      </c>
      <c r="E7" s="3"/>
      <c r="F7" s="34">
        <v>30</v>
      </c>
      <c r="G7" s="37"/>
      <c r="H7" s="3"/>
      <c r="I7" s="38"/>
    </row>
    <row r="8" spans="1:9" hidden="1">
      <c r="A8" s="4" t="s">
        <v>1</v>
      </c>
      <c r="B8" s="7" t="s">
        <v>21</v>
      </c>
      <c r="C8" s="4" t="s">
        <v>465</v>
      </c>
      <c r="D8" s="2" t="s">
        <v>3</v>
      </c>
      <c r="E8" s="3"/>
      <c r="F8" s="34">
        <v>4</v>
      </c>
      <c r="G8" s="39"/>
      <c r="H8" s="3"/>
      <c r="I8" s="32"/>
    </row>
    <row r="9" spans="1:9" hidden="1">
      <c r="A9" s="4" t="s">
        <v>1</v>
      </c>
      <c r="B9" s="7" t="s">
        <v>352</v>
      </c>
      <c r="C9" s="4" t="s">
        <v>753</v>
      </c>
      <c r="D9" s="2" t="s">
        <v>3</v>
      </c>
      <c r="E9" s="3"/>
      <c r="F9" s="34">
        <v>10</v>
      </c>
      <c r="G9" s="39"/>
      <c r="H9" s="3"/>
      <c r="I9" s="32"/>
    </row>
    <row r="10" spans="1:9" hidden="1">
      <c r="A10" s="4" t="s">
        <v>1</v>
      </c>
      <c r="B10" s="7" t="s">
        <v>353</v>
      </c>
      <c r="C10" s="4" t="s">
        <v>466</v>
      </c>
      <c r="D10" s="2" t="s">
        <v>3</v>
      </c>
      <c r="E10" s="3"/>
      <c r="F10" s="34">
        <v>8</v>
      </c>
      <c r="G10" s="39"/>
      <c r="H10" s="3"/>
      <c r="I10" s="32"/>
    </row>
    <row r="11" spans="1:9" hidden="1">
      <c r="A11" s="4" t="s">
        <v>1</v>
      </c>
      <c r="B11" s="7" t="s">
        <v>354</v>
      </c>
      <c r="C11" s="4" t="s">
        <v>467</v>
      </c>
      <c r="D11" s="2" t="s">
        <v>3</v>
      </c>
      <c r="E11" s="3"/>
      <c r="F11" s="34">
        <v>41.32</v>
      </c>
      <c r="G11" s="39"/>
      <c r="H11" s="3"/>
      <c r="I11" s="32"/>
    </row>
    <row r="12" spans="1:9" hidden="1">
      <c r="A12" s="4" t="s">
        <v>1</v>
      </c>
      <c r="B12" s="7" t="s">
        <v>355</v>
      </c>
      <c r="C12" s="4" t="s">
        <v>468</v>
      </c>
      <c r="D12" s="2" t="s">
        <v>3</v>
      </c>
      <c r="E12" s="3"/>
      <c r="F12" s="34">
        <v>10</v>
      </c>
      <c r="G12" s="39"/>
      <c r="H12" s="3"/>
      <c r="I12" s="32"/>
    </row>
    <row r="13" spans="1:9" hidden="1">
      <c r="A13" s="4" t="s">
        <v>1</v>
      </c>
      <c r="B13" s="7" t="s">
        <v>33</v>
      </c>
      <c r="C13" s="4" t="s">
        <v>568</v>
      </c>
      <c r="D13" s="2" t="s">
        <v>3</v>
      </c>
      <c r="E13" s="3"/>
      <c r="F13" s="34">
        <v>13</v>
      </c>
      <c r="G13" s="39"/>
      <c r="H13" s="3"/>
      <c r="I13" s="32"/>
    </row>
    <row r="14" spans="1:9" hidden="1">
      <c r="A14" s="4" t="s">
        <v>1</v>
      </c>
      <c r="B14" s="7" t="s">
        <v>356</v>
      </c>
      <c r="C14" s="4" t="s">
        <v>43</v>
      </c>
      <c r="D14" s="2" t="s">
        <v>3</v>
      </c>
      <c r="E14" s="3"/>
      <c r="F14" s="34">
        <v>15</v>
      </c>
      <c r="G14" s="39"/>
      <c r="H14" s="3"/>
      <c r="I14" s="32"/>
    </row>
    <row r="15" spans="1:9" hidden="1">
      <c r="A15" s="4" t="s">
        <v>1</v>
      </c>
      <c r="B15" s="7" t="s">
        <v>357</v>
      </c>
      <c r="C15" s="4" t="s">
        <v>469</v>
      </c>
      <c r="D15" s="2" t="s">
        <v>3</v>
      </c>
      <c r="E15" s="3"/>
      <c r="F15" s="34">
        <v>38</v>
      </c>
      <c r="G15" s="39"/>
      <c r="H15" s="3"/>
      <c r="I15" s="32"/>
    </row>
    <row r="16" spans="1:9" hidden="1">
      <c r="A16" s="4" t="s">
        <v>1</v>
      </c>
      <c r="B16" s="7" t="s">
        <v>358</v>
      </c>
      <c r="C16" s="4" t="s">
        <v>470</v>
      </c>
      <c r="D16" s="2" t="s">
        <v>3</v>
      </c>
      <c r="E16" s="3"/>
      <c r="F16" s="34">
        <v>38</v>
      </c>
      <c r="G16" s="39"/>
      <c r="H16" s="3"/>
      <c r="I16" s="32"/>
    </row>
    <row r="17" spans="1:9" hidden="1">
      <c r="A17" s="4" t="s">
        <v>1</v>
      </c>
      <c r="B17" s="7" t="s">
        <v>359</v>
      </c>
      <c r="C17" s="4" t="s">
        <v>754</v>
      </c>
      <c r="D17" s="2" t="s">
        <v>3</v>
      </c>
      <c r="E17" s="3"/>
      <c r="F17" s="34">
        <v>18</v>
      </c>
      <c r="G17" s="39"/>
      <c r="H17" s="3"/>
      <c r="I17" s="32"/>
    </row>
    <row r="18" spans="1:9" hidden="1">
      <c r="A18" s="4" t="s">
        <v>1</v>
      </c>
      <c r="B18" s="7" t="s">
        <v>360</v>
      </c>
      <c r="C18" s="4" t="s">
        <v>755</v>
      </c>
      <c r="D18" s="2" t="s">
        <v>3</v>
      </c>
      <c r="E18" s="3"/>
      <c r="F18" s="34">
        <v>15</v>
      </c>
      <c r="G18" s="39"/>
      <c r="H18" s="3"/>
      <c r="I18" s="32"/>
    </row>
    <row r="19" spans="1:9" hidden="1">
      <c r="A19" s="4" t="s">
        <v>1</v>
      </c>
      <c r="B19" s="7" t="s">
        <v>361</v>
      </c>
      <c r="C19" s="4" t="s">
        <v>756</v>
      </c>
      <c r="D19" s="2" t="s">
        <v>3</v>
      </c>
      <c r="E19" s="3"/>
      <c r="F19" s="34">
        <v>13</v>
      </c>
      <c r="G19" s="39"/>
      <c r="H19" s="3"/>
      <c r="I19" s="32"/>
    </row>
    <row r="20" spans="1:9" hidden="1">
      <c r="A20" s="4" t="s">
        <v>1</v>
      </c>
      <c r="B20" s="7" t="s">
        <v>362</v>
      </c>
      <c r="C20" s="4" t="s">
        <v>471</v>
      </c>
      <c r="D20" s="2" t="s">
        <v>3</v>
      </c>
      <c r="E20" s="3"/>
      <c r="F20" s="34">
        <v>15</v>
      </c>
      <c r="G20" s="39"/>
      <c r="H20" s="3"/>
      <c r="I20" s="32"/>
    </row>
    <row r="21" spans="1:9" hidden="1">
      <c r="A21" s="4" t="s">
        <v>1</v>
      </c>
      <c r="B21" s="7" t="s">
        <v>363</v>
      </c>
      <c r="C21" s="4" t="s">
        <v>26</v>
      </c>
      <c r="D21" s="2" t="s">
        <v>3</v>
      </c>
      <c r="E21" s="3"/>
      <c r="F21" s="34">
        <v>12</v>
      </c>
      <c r="G21" s="39"/>
      <c r="H21" s="3"/>
      <c r="I21" s="32"/>
    </row>
    <row r="22" spans="1:9" hidden="1">
      <c r="A22" s="4" t="s">
        <v>1</v>
      </c>
      <c r="B22" s="7" t="s">
        <v>364</v>
      </c>
      <c r="C22" s="4" t="s">
        <v>30</v>
      </c>
      <c r="D22" s="2" t="s">
        <v>3</v>
      </c>
      <c r="E22" s="3"/>
      <c r="F22" s="34">
        <v>4</v>
      </c>
      <c r="G22" s="39"/>
      <c r="H22" s="3"/>
      <c r="I22" s="32"/>
    </row>
    <row r="23" spans="1:9" hidden="1">
      <c r="A23" s="4" t="s">
        <v>1</v>
      </c>
      <c r="B23" s="7" t="s">
        <v>365</v>
      </c>
      <c r="C23" s="4" t="s">
        <v>30</v>
      </c>
      <c r="D23" s="2" t="s">
        <v>3</v>
      </c>
      <c r="E23" s="3"/>
      <c r="F23" s="34">
        <v>30</v>
      </c>
      <c r="G23" s="39"/>
      <c r="H23" s="3"/>
      <c r="I23" s="32"/>
    </row>
    <row r="24" spans="1:9" hidden="1">
      <c r="A24" s="4" t="s">
        <v>1</v>
      </c>
      <c r="B24" s="7" t="s">
        <v>366</v>
      </c>
      <c r="C24" s="4" t="s">
        <v>472</v>
      </c>
      <c r="D24" s="2" t="s">
        <v>3</v>
      </c>
      <c r="E24" s="3"/>
      <c r="F24" s="34">
        <v>32.799999999999997</v>
      </c>
      <c r="G24" s="39"/>
      <c r="H24" s="3"/>
      <c r="I24" s="32"/>
    </row>
    <row r="25" spans="1:9" hidden="1">
      <c r="A25" s="4" t="s">
        <v>1</v>
      </c>
      <c r="B25" s="7" t="s">
        <v>367</v>
      </c>
      <c r="C25" s="4" t="s">
        <v>473</v>
      </c>
      <c r="D25" s="2" t="s">
        <v>3</v>
      </c>
      <c r="E25" s="3"/>
      <c r="F25" s="34">
        <v>4</v>
      </c>
      <c r="G25" s="39"/>
      <c r="H25" s="3"/>
      <c r="I25" s="32"/>
    </row>
    <row r="26" spans="1:9" hidden="1">
      <c r="A26" s="4" t="s">
        <v>1</v>
      </c>
      <c r="B26" s="7" t="s">
        <v>368</v>
      </c>
      <c r="C26" s="4" t="s">
        <v>26</v>
      </c>
      <c r="D26" s="2" t="s">
        <v>3</v>
      </c>
      <c r="E26" s="3"/>
      <c r="F26" s="34">
        <v>4</v>
      </c>
      <c r="G26" s="39"/>
      <c r="H26" s="3"/>
      <c r="I26" s="32"/>
    </row>
    <row r="27" spans="1:9" hidden="1">
      <c r="A27" s="4" t="s">
        <v>1</v>
      </c>
      <c r="B27" s="7" t="s">
        <v>369</v>
      </c>
      <c r="C27" s="4" t="s">
        <v>474</v>
      </c>
      <c r="D27" s="2" t="s">
        <v>3</v>
      </c>
      <c r="E27" s="3"/>
      <c r="F27" s="34">
        <v>10</v>
      </c>
      <c r="G27" s="39"/>
      <c r="H27" s="3"/>
      <c r="I27" s="32"/>
    </row>
    <row r="28" spans="1:9" hidden="1">
      <c r="A28" s="4" t="s">
        <v>1</v>
      </c>
      <c r="B28" s="7" t="s">
        <v>370</v>
      </c>
      <c r="C28" s="4" t="s">
        <v>475</v>
      </c>
      <c r="D28" s="2" t="s">
        <v>3</v>
      </c>
      <c r="E28" s="3"/>
      <c r="F28" s="34">
        <v>26.68</v>
      </c>
      <c r="G28" s="39"/>
      <c r="H28" s="3"/>
      <c r="I28" s="32"/>
    </row>
    <row r="29" spans="1:9" hidden="1">
      <c r="A29" s="4" t="s">
        <v>1</v>
      </c>
      <c r="B29" s="7" t="s">
        <v>371</v>
      </c>
      <c r="C29" s="4" t="s">
        <v>476</v>
      </c>
      <c r="D29" s="2" t="s">
        <v>3</v>
      </c>
      <c r="E29" s="3"/>
      <c r="F29" s="34">
        <v>8</v>
      </c>
      <c r="G29" s="39"/>
      <c r="H29" s="3"/>
      <c r="I29" s="32"/>
    </row>
    <row r="30" spans="1:9" hidden="1">
      <c r="A30" s="4" t="s">
        <v>1</v>
      </c>
      <c r="B30" s="7" t="s">
        <v>372</v>
      </c>
      <c r="C30" s="4" t="s">
        <v>757</v>
      </c>
      <c r="D30" s="2" t="s">
        <v>3</v>
      </c>
      <c r="E30" s="3"/>
      <c r="F30" s="34">
        <v>20</v>
      </c>
      <c r="G30" s="39"/>
      <c r="H30" s="3"/>
      <c r="I30" s="32"/>
    </row>
    <row r="31" spans="1:9" hidden="1">
      <c r="A31" s="4" t="s">
        <v>1</v>
      </c>
      <c r="B31" s="7" t="s">
        <v>373</v>
      </c>
      <c r="C31" s="4" t="s">
        <v>477</v>
      </c>
      <c r="D31" s="2" t="s">
        <v>3</v>
      </c>
      <c r="E31" s="3"/>
      <c r="F31" s="34">
        <v>60</v>
      </c>
      <c r="G31" s="39"/>
      <c r="H31" s="3"/>
      <c r="I31" s="32"/>
    </row>
    <row r="32" spans="1:9" hidden="1">
      <c r="A32" s="4" t="s">
        <v>1</v>
      </c>
      <c r="B32" s="7" t="s">
        <v>374</v>
      </c>
      <c r="C32" s="4" t="s">
        <v>478</v>
      </c>
      <c r="D32" s="2" t="s">
        <v>3</v>
      </c>
      <c r="E32" s="3"/>
      <c r="F32" s="34">
        <v>4</v>
      </c>
      <c r="G32" s="39"/>
      <c r="H32" s="3"/>
      <c r="I32" s="32"/>
    </row>
    <row r="33" spans="1:9" hidden="1">
      <c r="A33" s="4" t="s">
        <v>1</v>
      </c>
      <c r="B33" s="7" t="s">
        <v>37</v>
      </c>
      <c r="C33" s="4" t="s">
        <v>569</v>
      </c>
      <c r="D33" s="2" t="s">
        <v>3</v>
      </c>
      <c r="E33" s="3"/>
      <c r="F33" s="34">
        <v>18</v>
      </c>
      <c r="G33" s="39"/>
      <c r="H33" s="3"/>
      <c r="I33" s="32"/>
    </row>
    <row r="34" spans="1:9" hidden="1">
      <c r="A34" s="4" t="s">
        <v>1</v>
      </c>
      <c r="B34" s="7" t="s">
        <v>375</v>
      </c>
      <c r="C34" s="4" t="s">
        <v>479</v>
      </c>
      <c r="D34" s="2" t="s">
        <v>3</v>
      </c>
      <c r="E34" s="3"/>
      <c r="F34" s="34">
        <v>18</v>
      </c>
      <c r="G34" s="39"/>
      <c r="H34" s="3"/>
      <c r="I34" s="32"/>
    </row>
    <row r="35" spans="1:9" hidden="1">
      <c r="A35" s="4" t="s">
        <v>1</v>
      </c>
      <c r="B35" s="7" t="s">
        <v>376</v>
      </c>
      <c r="C35" s="4" t="s">
        <v>480</v>
      </c>
      <c r="D35" s="2" t="s">
        <v>3</v>
      </c>
      <c r="E35" s="3"/>
      <c r="F35" s="34">
        <v>5</v>
      </c>
      <c r="G35" s="39"/>
      <c r="H35" s="3"/>
      <c r="I35" s="32"/>
    </row>
    <row r="36" spans="1:9" hidden="1">
      <c r="A36" s="4" t="s">
        <v>1</v>
      </c>
      <c r="B36" s="7" t="s">
        <v>377</v>
      </c>
      <c r="C36" s="4" t="s">
        <v>570</v>
      </c>
      <c r="D36" s="2" t="s">
        <v>3</v>
      </c>
      <c r="E36" s="3"/>
      <c r="F36" s="34">
        <v>25</v>
      </c>
      <c r="G36" s="39"/>
      <c r="H36" s="3"/>
      <c r="I36" s="32"/>
    </row>
    <row r="37" spans="1:9" hidden="1">
      <c r="A37" s="4" t="s">
        <v>1</v>
      </c>
      <c r="B37" s="7" t="s">
        <v>378</v>
      </c>
      <c r="C37" s="4" t="s">
        <v>481</v>
      </c>
      <c r="D37" s="2" t="s">
        <v>3</v>
      </c>
      <c r="E37" s="3"/>
      <c r="F37" s="34">
        <v>17</v>
      </c>
      <c r="G37" s="39"/>
      <c r="H37" s="3"/>
      <c r="I37" s="32"/>
    </row>
    <row r="38" spans="1:9" hidden="1">
      <c r="A38" s="4" t="s">
        <v>1</v>
      </c>
      <c r="B38" s="7" t="s">
        <v>379</v>
      </c>
      <c r="C38" s="4" t="s">
        <v>42</v>
      </c>
      <c r="D38" s="2" t="s">
        <v>3</v>
      </c>
      <c r="E38" s="3"/>
      <c r="F38" s="34">
        <v>4</v>
      </c>
      <c r="G38" s="39"/>
      <c r="H38" s="3"/>
      <c r="I38" s="32"/>
    </row>
    <row r="39" spans="1:9" hidden="1">
      <c r="A39" s="4" t="s">
        <v>1</v>
      </c>
      <c r="B39" s="7" t="s">
        <v>380</v>
      </c>
      <c r="C39" s="4" t="s">
        <v>758</v>
      </c>
      <c r="D39" s="2" t="s">
        <v>3</v>
      </c>
      <c r="E39" s="3"/>
      <c r="F39" s="34">
        <v>30.6</v>
      </c>
      <c r="G39" s="39"/>
      <c r="H39" s="3"/>
      <c r="I39" s="32"/>
    </row>
    <row r="40" spans="1:9" hidden="1">
      <c r="A40" s="4" t="s">
        <v>1</v>
      </c>
      <c r="B40" s="7" t="s">
        <v>381</v>
      </c>
      <c r="C40" s="4" t="s">
        <v>571</v>
      </c>
      <c r="D40" s="2" t="s">
        <v>3</v>
      </c>
      <c r="E40" s="3"/>
      <c r="F40" s="34">
        <v>17.89</v>
      </c>
      <c r="G40" s="39"/>
      <c r="H40" s="3"/>
      <c r="I40" s="32"/>
    </row>
    <row r="41" spans="1:9" hidden="1">
      <c r="A41" s="4" t="s">
        <v>1</v>
      </c>
      <c r="B41" s="7" t="s">
        <v>382</v>
      </c>
      <c r="C41" s="4" t="s">
        <v>572</v>
      </c>
      <c r="D41" s="2" t="s">
        <v>3</v>
      </c>
      <c r="E41" s="3"/>
      <c r="F41" s="34">
        <v>23.76</v>
      </c>
      <c r="G41" s="39"/>
      <c r="H41" s="3"/>
      <c r="I41" s="32"/>
    </row>
    <row r="42" spans="1:9" hidden="1">
      <c r="A42" s="4" t="s">
        <v>1</v>
      </c>
      <c r="B42" s="7" t="s">
        <v>383</v>
      </c>
      <c r="C42" s="4" t="s">
        <v>573</v>
      </c>
      <c r="D42" s="2" t="s">
        <v>3</v>
      </c>
      <c r="E42" s="3"/>
      <c r="F42" s="34">
        <v>8.66</v>
      </c>
      <c r="G42" s="39"/>
      <c r="H42" s="3"/>
      <c r="I42" s="32"/>
    </row>
    <row r="43" spans="1:9" hidden="1">
      <c r="A43" s="4" t="s">
        <v>1</v>
      </c>
      <c r="B43" s="7" t="s">
        <v>384</v>
      </c>
      <c r="C43" s="4" t="s">
        <v>759</v>
      </c>
      <c r="D43" s="2" t="s">
        <v>3</v>
      </c>
      <c r="E43" s="3"/>
      <c r="F43" s="34">
        <v>11</v>
      </c>
      <c r="G43" s="39"/>
      <c r="H43" s="3"/>
      <c r="I43" s="32"/>
    </row>
    <row r="44" spans="1:9" hidden="1">
      <c r="A44" s="4" t="s">
        <v>1</v>
      </c>
      <c r="B44" s="7" t="s">
        <v>385</v>
      </c>
      <c r="C44" s="4" t="s">
        <v>574</v>
      </c>
      <c r="D44" s="2" t="s">
        <v>3</v>
      </c>
      <c r="E44" s="3"/>
      <c r="F44" s="34">
        <v>13</v>
      </c>
      <c r="G44" s="39"/>
      <c r="H44" s="3"/>
      <c r="I44" s="32"/>
    </row>
    <row r="45" spans="1:9" hidden="1">
      <c r="A45" s="4" t="s">
        <v>1</v>
      </c>
      <c r="B45" s="7" t="s">
        <v>386</v>
      </c>
      <c r="C45" s="4" t="s">
        <v>575</v>
      </c>
      <c r="D45" s="2" t="s">
        <v>3</v>
      </c>
      <c r="E45" s="3"/>
      <c r="F45" s="34">
        <v>35.83</v>
      </c>
      <c r="G45" s="39"/>
      <c r="H45" s="3"/>
      <c r="I45" s="32"/>
    </row>
    <row r="46" spans="1:9" hidden="1">
      <c r="A46" s="4" t="s">
        <v>1</v>
      </c>
      <c r="B46" s="7" t="s">
        <v>387</v>
      </c>
      <c r="C46" s="4" t="s">
        <v>760</v>
      </c>
      <c r="D46" s="2" t="s">
        <v>3</v>
      </c>
      <c r="E46" s="3"/>
      <c r="F46" s="34">
        <v>20</v>
      </c>
      <c r="G46" s="39"/>
      <c r="H46" s="3"/>
      <c r="I46" s="32"/>
    </row>
    <row r="47" spans="1:9" hidden="1">
      <c r="A47" s="4" t="s">
        <v>1</v>
      </c>
      <c r="B47" s="7" t="s">
        <v>388</v>
      </c>
      <c r="C47" s="4" t="s">
        <v>761</v>
      </c>
      <c r="D47" s="2" t="s">
        <v>3</v>
      </c>
      <c r="E47" s="3"/>
      <c r="F47" s="34">
        <v>25</v>
      </c>
      <c r="G47" s="39"/>
      <c r="H47" s="3"/>
      <c r="I47" s="32"/>
    </row>
    <row r="48" spans="1:9" hidden="1">
      <c r="A48" s="4" t="s">
        <v>1</v>
      </c>
      <c r="B48" s="7" t="s">
        <v>389</v>
      </c>
      <c r="C48" s="4" t="s">
        <v>576</v>
      </c>
      <c r="D48" s="2" t="s">
        <v>3</v>
      </c>
      <c r="E48" s="3"/>
      <c r="F48" s="34">
        <v>36.04</v>
      </c>
      <c r="G48" s="39"/>
      <c r="H48" s="3"/>
      <c r="I48" s="32"/>
    </row>
    <row r="49" spans="1:9" hidden="1">
      <c r="A49" s="4" t="s">
        <v>1</v>
      </c>
      <c r="B49" s="7" t="s">
        <v>390</v>
      </c>
      <c r="C49" s="4" t="s">
        <v>577</v>
      </c>
      <c r="D49" s="2" t="s">
        <v>3</v>
      </c>
      <c r="E49" s="3"/>
      <c r="F49" s="34">
        <v>36.479999999999997</v>
      </c>
      <c r="G49" s="39"/>
      <c r="H49" s="3"/>
      <c r="I49" s="32"/>
    </row>
    <row r="50" spans="1:9" hidden="1">
      <c r="A50" s="4" t="s">
        <v>1</v>
      </c>
      <c r="B50" s="7" t="s">
        <v>391</v>
      </c>
      <c r="C50" s="4" t="s">
        <v>762</v>
      </c>
      <c r="D50" s="2" t="s">
        <v>3</v>
      </c>
      <c r="E50" s="3"/>
      <c r="F50" s="34">
        <v>13.4</v>
      </c>
      <c r="G50" s="39"/>
      <c r="H50" s="3"/>
      <c r="I50" s="32"/>
    </row>
    <row r="51" spans="1:9" hidden="1">
      <c r="A51" s="4" t="s">
        <v>1</v>
      </c>
      <c r="B51" s="7" t="s">
        <v>392</v>
      </c>
      <c r="C51" s="4" t="s">
        <v>763</v>
      </c>
      <c r="D51" s="2" t="s">
        <v>3</v>
      </c>
      <c r="E51" s="3"/>
      <c r="F51" s="34">
        <v>15.34</v>
      </c>
      <c r="G51" s="39"/>
      <c r="H51" s="3"/>
      <c r="I51" s="32"/>
    </row>
    <row r="52" spans="1:9" hidden="1">
      <c r="A52" s="4" t="s">
        <v>1</v>
      </c>
      <c r="B52" s="7" t="s">
        <v>393</v>
      </c>
      <c r="C52" s="4" t="s">
        <v>764</v>
      </c>
      <c r="D52" s="2" t="s">
        <v>3</v>
      </c>
      <c r="E52" s="3"/>
      <c r="F52" s="34">
        <v>36.29</v>
      </c>
      <c r="G52" s="39"/>
      <c r="H52" s="3"/>
      <c r="I52" s="32"/>
    </row>
    <row r="53" spans="1:9" hidden="1">
      <c r="A53" s="4" t="s">
        <v>1</v>
      </c>
      <c r="B53" s="7" t="s">
        <v>394</v>
      </c>
      <c r="C53" s="4" t="s">
        <v>578</v>
      </c>
      <c r="D53" s="2" t="s">
        <v>3</v>
      </c>
      <c r="E53" s="3"/>
      <c r="F53" s="34">
        <v>65.430000000000007</v>
      </c>
      <c r="G53" s="39"/>
      <c r="H53" s="3"/>
      <c r="I53" s="32"/>
    </row>
    <row r="54" spans="1:9" hidden="1">
      <c r="A54" s="4" t="s">
        <v>1</v>
      </c>
      <c r="B54" s="7" t="s">
        <v>395</v>
      </c>
      <c r="C54" s="4" t="s">
        <v>579</v>
      </c>
      <c r="D54" s="2" t="s">
        <v>3</v>
      </c>
      <c r="E54" s="3"/>
      <c r="F54" s="34">
        <v>37.5</v>
      </c>
      <c r="G54" s="39"/>
      <c r="H54" s="3"/>
      <c r="I54" s="32"/>
    </row>
    <row r="55" spans="1:9" hidden="1">
      <c r="A55" s="4" t="s">
        <v>1</v>
      </c>
      <c r="B55" s="7" t="s">
        <v>396</v>
      </c>
      <c r="C55" s="4" t="s">
        <v>580</v>
      </c>
      <c r="D55" s="2" t="s">
        <v>3</v>
      </c>
      <c r="E55" s="3"/>
      <c r="F55" s="34">
        <v>18.68</v>
      </c>
      <c r="G55" s="39"/>
      <c r="H55" s="3"/>
      <c r="I55" s="32"/>
    </row>
    <row r="56" spans="1:9" hidden="1">
      <c r="A56" s="4" t="s">
        <v>1</v>
      </c>
      <c r="B56" s="7" t="s">
        <v>397</v>
      </c>
      <c r="C56" s="4" t="s">
        <v>581</v>
      </c>
      <c r="D56" s="2" t="s">
        <v>3</v>
      </c>
      <c r="E56" s="3"/>
      <c r="F56" s="34">
        <v>7</v>
      </c>
      <c r="G56" s="39"/>
      <c r="H56" s="3"/>
      <c r="I56" s="32"/>
    </row>
    <row r="57" spans="1:9" hidden="1">
      <c r="A57" s="4" t="s">
        <v>1</v>
      </c>
      <c r="B57" s="7" t="s">
        <v>345</v>
      </c>
      <c r="C57" s="4" t="s">
        <v>582</v>
      </c>
      <c r="D57" s="2" t="s">
        <v>3</v>
      </c>
      <c r="E57" s="3"/>
      <c r="F57" s="34">
        <v>6</v>
      </c>
      <c r="G57" s="39"/>
      <c r="H57" s="3"/>
      <c r="I57" s="32"/>
    </row>
    <row r="58" spans="1:9" hidden="1">
      <c r="A58" s="4" t="s">
        <v>1</v>
      </c>
      <c r="B58" s="7" t="s">
        <v>41</v>
      </c>
      <c r="C58" s="4" t="s">
        <v>583</v>
      </c>
      <c r="D58" s="2" t="s">
        <v>3</v>
      </c>
      <c r="E58" s="3"/>
      <c r="F58" s="34">
        <v>11.75</v>
      </c>
      <c r="G58" s="39"/>
      <c r="H58" s="3"/>
      <c r="I58" s="32"/>
    </row>
    <row r="59" spans="1:9" hidden="1">
      <c r="A59" s="4" t="s">
        <v>1</v>
      </c>
      <c r="B59" s="7" t="s">
        <v>398</v>
      </c>
      <c r="C59" s="4" t="s">
        <v>584</v>
      </c>
      <c r="D59" s="2" t="s">
        <v>3</v>
      </c>
      <c r="E59" s="3"/>
      <c r="F59" s="34">
        <v>25.97</v>
      </c>
      <c r="G59" s="39"/>
      <c r="H59" s="3"/>
      <c r="I59" s="32"/>
    </row>
    <row r="60" spans="1:9" hidden="1">
      <c r="A60" s="4" t="s">
        <v>1</v>
      </c>
      <c r="B60" s="7" t="s">
        <v>36</v>
      </c>
      <c r="C60" s="4" t="s">
        <v>585</v>
      </c>
      <c r="D60" s="2" t="s">
        <v>3</v>
      </c>
      <c r="E60" s="3"/>
      <c r="F60" s="34">
        <v>25</v>
      </c>
      <c r="G60" s="39"/>
      <c r="H60" s="3"/>
      <c r="I60" s="32"/>
    </row>
    <row r="61" spans="1:9" hidden="1">
      <c r="A61" s="4" t="s">
        <v>1</v>
      </c>
      <c r="B61" s="7" t="s">
        <v>399</v>
      </c>
      <c r="C61" s="4" t="s">
        <v>586</v>
      </c>
      <c r="D61" s="2" t="s">
        <v>3</v>
      </c>
      <c r="E61" s="3"/>
      <c r="F61" s="34">
        <v>33</v>
      </c>
      <c r="G61" s="39"/>
      <c r="H61" s="3"/>
      <c r="I61" s="32"/>
    </row>
    <row r="62" spans="1:9" hidden="1">
      <c r="A62" s="4" t="s">
        <v>1</v>
      </c>
      <c r="B62" s="7" t="s">
        <v>400</v>
      </c>
      <c r="C62" s="4" t="s">
        <v>765</v>
      </c>
      <c r="D62" s="2" t="s">
        <v>3</v>
      </c>
      <c r="E62" s="3"/>
      <c r="F62" s="34">
        <v>35</v>
      </c>
      <c r="G62" s="39"/>
      <c r="H62" s="3"/>
      <c r="I62" s="32"/>
    </row>
    <row r="63" spans="1:9" hidden="1">
      <c r="A63" s="4" t="s">
        <v>1</v>
      </c>
      <c r="B63" s="7" t="s">
        <v>401</v>
      </c>
      <c r="C63" s="4" t="s">
        <v>587</v>
      </c>
      <c r="D63" s="2" t="s">
        <v>3</v>
      </c>
      <c r="E63" s="3"/>
      <c r="F63" s="34">
        <v>10.32</v>
      </c>
      <c r="G63" s="39"/>
      <c r="H63" s="3"/>
      <c r="I63" s="32"/>
    </row>
    <row r="64" spans="1:9" hidden="1">
      <c r="A64" s="4" t="s">
        <v>1</v>
      </c>
      <c r="B64" s="7" t="s">
        <v>402</v>
      </c>
      <c r="C64" s="4" t="s">
        <v>588</v>
      </c>
      <c r="D64" s="2" t="s">
        <v>3</v>
      </c>
      <c r="E64" s="3"/>
      <c r="F64" s="34">
        <v>108</v>
      </c>
      <c r="G64" s="39"/>
      <c r="H64" s="3"/>
      <c r="I64" s="32"/>
    </row>
    <row r="65" spans="1:9" hidden="1">
      <c r="A65" s="4" t="s">
        <v>1</v>
      </c>
      <c r="B65" s="7" t="s">
        <v>403</v>
      </c>
      <c r="C65" s="4" t="s">
        <v>766</v>
      </c>
      <c r="D65" s="2" t="s">
        <v>3</v>
      </c>
      <c r="E65" s="3"/>
      <c r="F65" s="34">
        <v>35</v>
      </c>
      <c r="G65" s="39"/>
      <c r="H65" s="3"/>
      <c r="I65" s="32"/>
    </row>
    <row r="66" spans="1:9" hidden="1">
      <c r="A66" s="4" t="s">
        <v>1</v>
      </c>
      <c r="B66" s="7" t="s">
        <v>404</v>
      </c>
      <c r="C66" s="4" t="s">
        <v>589</v>
      </c>
      <c r="D66" s="2" t="s">
        <v>3</v>
      </c>
      <c r="E66" s="3"/>
      <c r="F66" s="34">
        <v>32.51</v>
      </c>
      <c r="G66" s="39"/>
      <c r="H66" s="3"/>
      <c r="I66" s="32"/>
    </row>
    <row r="67" spans="1:9" hidden="1">
      <c r="A67" s="4" t="s">
        <v>1</v>
      </c>
      <c r="B67" s="7" t="s">
        <v>405</v>
      </c>
      <c r="C67" s="4" t="s">
        <v>767</v>
      </c>
      <c r="D67" s="2" t="s">
        <v>3</v>
      </c>
      <c r="E67" s="3"/>
      <c r="F67" s="34">
        <v>36.29</v>
      </c>
      <c r="G67" s="39"/>
      <c r="H67" s="3"/>
      <c r="I67" s="32"/>
    </row>
    <row r="68" spans="1:9" hidden="1">
      <c r="A68" s="4" t="s">
        <v>1</v>
      </c>
      <c r="B68" s="7" t="s">
        <v>406</v>
      </c>
      <c r="C68" s="4" t="s">
        <v>768</v>
      </c>
      <c r="D68" s="2" t="s">
        <v>3</v>
      </c>
      <c r="E68" s="3"/>
      <c r="F68" s="34">
        <v>70.400000000000006</v>
      </c>
      <c r="G68" s="39"/>
      <c r="H68" s="3"/>
      <c r="I68" s="32"/>
    </row>
    <row r="69" spans="1:9" hidden="1">
      <c r="A69" s="4" t="s">
        <v>1</v>
      </c>
      <c r="B69" s="7" t="s">
        <v>407</v>
      </c>
      <c r="C69" s="4" t="s">
        <v>590</v>
      </c>
      <c r="D69" s="2" t="s">
        <v>3</v>
      </c>
      <c r="E69" s="3"/>
      <c r="F69" s="34">
        <v>40</v>
      </c>
      <c r="G69" s="39"/>
      <c r="H69" s="3"/>
      <c r="I69" s="32"/>
    </row>
    <row r="70" spans="1:9" hidden="1">
      <c r="A70" s="4" t="s">
        <v>1</v>
      </c>
      <c r="B70" s="7" t="s">
        <v>408</v>
      </c>
      <c r="C70" s="4" t="s">
        <v>769</v>
      </c>
      <c r="D70" s="2" t="s">
        <v>3</v>
      </c>
      <c r="E70" s="3"/>
      <c r="F70" s="34">
        <v>19</v>
      </c>
      <c r="G70" s="39"/>
      <c r="H70" s="3"/>
      <c r="I70" s="32"/>
    </row>
    <row r="71" spans="1:9" hidden="1">
      <c r="A71" s="4" t="s">
        <v>1</v>
      </c>
      <c r="B71" s="7" t="s">
        <v>409</v>
      </c>
      <c r="C71" s="4" t="s">
        <v>770</v>
      </c>
      <c r="D71" s="2" t="s">
        <v>3</v>
      </c>
      <c r="E71" s="3"/>
      <c r="F71" s="34">
        <v>4</v>
      </c>
      <c r="G71" s="39"/>
      <c r="H71" s="3"/>
      <c r="I71" s="32"/>
    </row>
    <row r="72" spans="1:9" hidden="1">
      <c r="A72" s="4" t="s">
        <v>1</v>
      </c>
      <c r="B72" s="7" t="s">
        <v>410</v>
      </c>
      <c r="C72" s="4" t="s">
        <v>771</v>
      </c>
      <c r="D72" s="2" t="s">
        <v>3</v>
      </c>
      <c r="E72" s="3"/>
      <c r="F72" s="34">
        <v>4</v>
      </c>
      <c r="G72" s="39"/>
      <c r="H72" s="3"/>
      <c r="I72" s="32"/>
    </row>
    <row r="73" spans="1:9" hidden="1">
      <c r="A73" s="4" t="s">
        <v>1</v>
      </c>
      <c r="B73" s="7" t="s">
        <v>35</v>
      </c>
      <c r="C73" s="4" t="s">
        <v>591</v>
      </c>
      <c r="D73" s="2" t="s">
        <v>3</v>
      </c>
      <c r="E73" s="3"/>
      <c r="F73" s="34">
        <v>20.71</v>
      </c>
      <c r="G73" s="39"/>
      <c r="H73" s="3"/>
      <c r="I73" s="32"/>
    </row>
    <row r="74" spans="1:9" hidden="1">
      <c r="A74" s="4" t="s">
        <v>1</v>
      </c>
      <c r="B74" s="7" t="s">
        <v>38</v>
      </c>
      <c r="C74" s="4" t="s">
        <v>592</v>
      </c>
      <c r="D74" s="2" t="s">
        <v>3</v>
      </c>
      <c r="E74" s="3"/>
      <c r="F74" s="34">
        <v>22.05</v>
      </c>
      <c r="G74" s="39"/>
      <c r="H74" s="3"/>
      <c r="I74" s="32"/>
    </row>
    <row r="75" spans="1:9" hidden="1">
      <c r="A75" s="4" t="s">
        <v>1</v>
      </c>
      <c r="B75" s="7" t="s">
        <v>411</v>
      </c>
      <c r="C75" s="4" t="s">
        <v>772</v>
      </c>
      <c r="D75" s="2" t="s">
        <v>3</v>
      </c>
      <c r="E75" s="3"/>
      <c r="F75" s="34">
        <v>26.72</v>
      </c>
      <c r="G75" s="39"/>
      <c r="H75" s="3"/>
      <c r="I75" s="32"/>
    </row>
    <row r="76" spans="1:9" hidden="1">
      <c r="A76" s="4" t="s">
        <v>1</v>
      </c>
      <c r="B76" s="7" t="s">
        <v>412</v>
      </c>
      <c r="C76" s="4" t="s">
        <v>773</v>
      </c>
      <c r="D76" s="2" t="s">
        <v>3</v>
      </c>
      <c r="E76" s="3"/>
      <c r="F76" s="34">
        <v>26.8</v>
      </c>
      <c r="G76" s="39"/>
      <c r="H76" s="3"/>
      <c r="I76" s="32"/>
    </row>
    <row r="77" spans="1:9" hidden="1">
      <c r="A77" s="4" t="s">
        <v>1</v>
      </c>
      <c r="B77" s="7" t="s">
        <v>45</v>
      </c>
      <c r="C77" s="4" t="s">
        <v>593</v>
      </c>
      <c r="D77" s="2" t="s">
        <v>3</v>
      </c>
      <c r="E77" s="3"/>
      <c r="F77" s="34">
        <v>51.25</v>
      </c>
      <c r="G77" s="39"/>
      <c r="H77" s="3"/>
      <c r="I77" s="32"/>
    </row>
    <row r="78" spans="1:9" hidden="1">
      <c r="A78" s="4" t="s">
        <v>1</v>
      </c>
      <c r="B78" s="7" t="s">
        <v>344</v>
      </c>
      <c r="C78" s="4" t="s">
        <v>774</v>
      </c>
      <c r="D78" s="2" t="s">
        <v>3</v>
      </c>
      <c r="E78" s="3"/>
      <c r="F78" s="34">
        <v>114</v>
      </c>
      <c r="G78" s="39">
        <v>57.5</v>
      </c>
      <c r="H78" s="3"/>
      <c r="I78" s="32"/>
    </row>
    <row r="79" spans="1:9" hidden="1">
      <c r="A79" s="4" t="s">
        <v>1</v>
      </c>
      <c r="B79" s="7" t="s">
        <v>413</v>
      </c>
      <c r="C79" s="4" t="s">
        <v>775</v>
      </c>
      <c r="D79" s="2" t="s">
        <v>3</v>
      </c>
      <c r="E79" s="3"/>
      <c r="F79" s="34">
        <v>5.22</v>
      </c>
      <c r="G79" s="39"/>
      <c r="H79" s="3"/>
      <c r="I79" s="32"/>
    </row>
    <row r="80" spans="1:9" hidden="1">
      <c r="A80" s="4" t="s">
        <v>1</v>
      </c>
      <c r="B80" s="7" t="s">
        <v>414</v>
      </c>
      <c r="C80" s="4" t="s">
        <v>776</v>
      </c>
      <c r="D80" s="2" t="s">
        <v>3</v>
      </c>
      <c r="E80" s="3"/>
      <c r="F80" s="34">
        <v>27.240000000000002</v>
      </c>
      <c r="G80" s="39"/>
      <c r="H80" s="3"/>
      <c r="I80" s="32"/>
    </row>
    <row r="81" spans="1:9" hidden="1">
      <c r="A81" s="4" t="s">
        <v>1</v>
      </c>
      <c r="B81" s="7" t="s">
        <v>46</v>
      </c>
      <c r="C81" s="4" t="s">
        <v>777</v>
      </c>
      <c r="D81" s="2" t="s">
        <v>3</v>
      </c>
      <c r="E81" s="3"/>
      <c r="F81" s="34">
        <v>15</v>
      </c>
      <c r="G81" s="39"/>
      <c r="H81" s="3"/>
      <c r="I81" s="32"/>
    </row>
    <row r="82" spans="1:9" hidden="1">
      <c r="A82" s="4" t="s">
        <v>1</v>
      </c>
      <c r="B82" s="7" t="s">
        <v>415</v>
      </c>
      <c r="C82" s="4" t="s">
        <v>594</v>
      </c>
      <c r="D82" s="2" t="s">
        <v>3</v>
      </c>
      <c r="E82" s="3"/>
      <c r="F82" s="34">
        <v>31.4</v>
      </c>
      <c r="G82" s="39"/>
      <c r="H82" s="3"/>
      <c r="I82" s="32"/>
    </row>
    <row r="83" spans="1:9" hidden="1">
      <c r="A83" s="4" t="s">
        <v>1</v>
      </c>
      <c r="B83" s="7" t="s">
        <v>416</v>
      </c>
      <c r="C83" s="4" t="s">
        <v>778</v>
      </c>
      <c r="D83" s="2" t="s">
        <v>3</v>
      </c>
      <c r="E83" s="3"/>
      <c r="F83" s="34">
        <v>5.72</v>
      </c>
      <c r="G83" s="39"/>
      <c r="H83" s="3"/>
      <c r="I83" s="32"/>
    </row>
    <row r="84" spans="1:9" hidden="1">
      <c r="A84" s="4" t="s">
        <v>1</v>
      </c>
      <c r="B84" s="7" t="s">
        <v>417</v>
      </c>
      <c r="C84" s="4" t="s">
        <v>779</v>
      </c>
      <c r="D84" s="2" t="s">
        <v>3</v>
      </c>
      <c r="E84" s="3"/>
      <c r="F84" s="34">
        <v>16</v>
      </c>
      <c r="G84" s="39"/>
      <c r="H84" s="3"/>
      <c r="I84" s="32"/>
    </row>
    <row r="85" spans="1:9" hidden="1">
      <c r="A85" s="4" t="s">
        <v>1</v>
      </c>
      <c r="B85" s="7" t="s">
        <v>418</v>
      </c>
      <c r="C85" s="4" t="s">
        <v>780</v>
      </c>
      <c r="D85" s="2" t="s">
        <v>3</v>
      </c>
      <c r="E85" s="3"/>
      <c r="F85" s="34">
        <v>20.96</v>
      </c>
      <c r="G85" s="39"/>
      <c r="H85" s="3"/>
      <c r="I85" s="32"/>
    </row>
    <row r="86" spans="1:9" hidden="1">
      <c r="A86" s="4" t="s">
        <v>1</v>
      </c>
      <c r="B86" s="7" t="s">
        <v>419</v>
      </c>
      <c r="C86" s="4" t="s">
        <v>595</v>
      </c>
      <c r="D86" s="2" t="s">
        <v>3</v>
      </c>
      <c r="E86" s="3"/>
      <c r="F86" s="34">
        <v>20</v>
      </c>
      <c r="G86" s="39"/>
      <c r="H86" s="3"/>
      <c r="I86" s="32"/>
    </row>
    <row r="87" spans="1:9" hidden="1">
      <c r="A87" s="4" t="s">
        <v>1</v>
      </c>
      <c r="B87" s="7" t="s">
        <v>420</v>
      </c>
      <c r="C87" s="4" t="s">
        <v>781</v>
      </c>
      <c r="D87" s="2" t="s">
        <v>3</v>
      </c>
      <c r="E87" s="3"/>
      <c r="F87" s="34">
        <v>11</v>
      </c>
      <c r="G87" s="39"/>
      <c r="H87" s="3"/>
      <c r="I87" s="32"/>
    </row>
    <row r="88" spans="1:9" hidden="1">
      <c r="A88" s="4" t="s">
        <v>1</v>
      </c>
      <c r="B88" s="7" t="s">
        <v>421</v>
      </c>
      <c r="C88" s="4" t="s">
        <v>596</v>
      </c>
      <c r="D88" s="2" t="s">
        <v>3</v>
      </c>
      <c r="E88" s="3"/>
      <c r="F88" s="34">
        <v>15</v>
      </c>
      <c r="G88" s="39"/>
      <c r="H88" s="3"/>
      <c r="I88" s="32"/>
    </row>
    <row r="89" spans="1:9" hidden="1">
      <c r="A89" s="4" t="s">
        <v>1</v>
      </c>
      <c r="B89" s="7" t="s">
        <v>422</v>
      </c>
      <c r="C89" s="4" t="s">
        <v>597</v>
      </c>
      <c r="D89" s="2" t="s">
        <v>3</v>
      </c>
      <c r="E89" s="3"/>
      <c r="F89" s="34">
        <v>24</v>
      </c>
      <c r="G89" s="39"/>
      <c r="H89" s="3"/>
      <c r="I89" s="32"/>
    </row>
    <row r="90" spans="1:9" hidden="1">
      <c r="A90" s="4" t="s">
        <v>1</v>
      </c>
      <c r="B90" s="7" t="s">
        <v>423</v>
      </c>
      <c r="C90" s="4" t="s">
        <v>598</v>
      </c>
      <c r="D90" s="2" t="s">
        <v>3</v>
      </c>
      <c r="E90" s="3"/>
      <c r="F90" s="34">
        <v>60.04</v>
      </c>
      <c r="G90" s="39"/>
      <c r="H90" s="3"/>
      <c r="I90" s="32"/>
    </row>
    <row r="91" spans="1:9" hidden="1">
      <c r="A91" s="4" t="s">
        <v>1</v>
      </c>
      <c r="B91" s="7" t="s">
        <v>424</v>
      </c>
      <c r="C91" s="4" t="s">
        <v>782</v>
      </c>
      <c r="D91" s="2" t="s">
        <v>3</v>
      </c>
      <c r="E91" s="3"/>
      <c r="F91" s="34">
        <v>15.3</v>
      </c>
      <c r="G91" s="39"/>
      <c r="H91" s="3"/>
      <c r="I91" s="32"/>
    </row>
    <row r="92" spans="1:9" hidden="1">
      <c r="A92" s="4" t="s">
        <v>1</v>
      </c>
      <c r="B92" s="7" t="s">
        <v>425</v>
      </c>
      <c r="C92" s="4" t="s">
        <v>783</v>
      </c>
      <c r="D92" s="2" t="s">
        <v>3</v>
      </c>
      <c r="E92" s="3"/>
      <c r="F92" s="34">
        <v>14.3</v>
      </c>
      <c r="G92" s="39"/>
      <c r="H92" s="3"/>
      <c r="I92" s="32"/>
    </row>
    <row r="93" spans="1:9" hidden="1">
      <c r="A93" s="4" t="s">
        <v>1</v>
      </c>
      <c r="B93" s="7" t="s">
        <v>426</v>
      </c>
      <c r="C93" s="4" t="s">
        <v>599</v>
      </c>
      <c r="D93" s="2" t="s">
        <v>3</v>
      </c>
      <c r="E93" s="3"/>
      <c r="F93" s="34">
        <v>56.64</v>
      </c>
      <c r="G93" s="39"/>
      <c r="H93" s="3"/>
      <c r="I93" s="32"/>
    </row>
    <row r="94" spans="1:9" hidden="1">
      <c r="A94" s="4" t="s">
        <v>1</v>
      </c>
      <c r="B94" s="7" t="s">
        <v>427</v>
      </c>
      <c r="C94" s="4" t="s">
        <v>784</v>
      </c>
      <c r="D94" s="2" t="s">
        <v>3</v>
      </c>
      <c r="E94" s="3"/>
      <c r="F94" s="34">
        <v>16</v>
      </c>
      <c r="G94" s="39"/>
      <c r="H94" s="3"/>
      <c r="I94" s="32"/>
    </row>
    <row r="95" spans="1:9" hidden="1">
      <c r="A95" s="4" t="s">
        <v>1</v>
      </c>
      <c r="B95" s="7" t="s">
        <v>428</v>
      </c>
      <c r="C95" s="4" t="s">
        <v>600</v>
      </c>
      <c r="D95" s="2" t="s">
        <v>3</v>
      </c>
      <c r="E95" s="3"/>
      <c r="F95" s="34">
        <v>6</v>
      </c>
      <c r="G95" s="39"/>
      <c r="H95" s="3"/>
      <c r="I95" s="32"/>
    </row>
    <row r="96" spans="1:9" hidden="1">
      <c r="A96" s="4" t="s">
        <v>1</v>
      </c>
      <c r="B96" s="7" t="s">
        <v>429</v>
      </c>
      <c r="C96" s="4" t="s">
        <v>785</v>
      </c>
      <c r="D96" s="2" t="s">
        <v>3</v>
      </c>
      <c r="E96" s="3"/>
      <c r="F96" s="34">
        <v>62.3</v>
      </c>
      <c r="G96" s="39"/>
      <c r="H96" s="3"/>
      <c r="I96" s="32"/>
    </row>
    <row r="97" spans="1:9" hidden="1">
      <c r="A97" s="4" t="s">
        <v>1</v>
      </c>
      <c r="B97" s="7" t="s">
        <v>430</v>
      </c>
      <c r="C97" s="4" t="s">
        <v>601</v>
      </c>
      <c r="D97" s="2" t="s">
        <v>3</v>
      </c>
      <c r="E97" s="3"/>
      <c r="F97" s="34">
        <v>52.6</v>
      </c>
      <c r="G97" s="39"/>
      <c r="H97" s="3"/>
      <c r="I97" s="32"/>
    </row>
    <row r="98" spans="1:9" hidden="1">
      <c r="A98" s="4" t="s">
        <v>1</v>
      </c>
      <c r="B98" s="7" t="s">
        <v>431</v>
      </c>
      <c r="C98" s="4" t="s">
        <v>786</v>
      </c>
      <c r="D98" s="2" t="s">
        <v>3</v>
      </c>
      <c r="E98" s="3"/>
      <c r="F98" s="34">
        <v>10</v>
      </c>
      <c r="G98" s="39"/>
      <c r="H98" s="3"/>
      <c r="I98" s="32"/>
    </row>
    <row r="99" spans="1:9" hidden="1">
      <c r="A99" s="4" t="s">
        <v>1</v>
      </c>
      <c r="B99" s="7" t="s">
        <v>432</v>
      </c>
      <c r="C99" s="4" t="s">
        <v>787</v>
      </c>
      <c r="D99" s="2" t="s">
        <v>3</v>
      </c>
      <c r="E99" s="3"/>
      <c r="F99" s="34">
        <v>10</v>
      </c>
      <c r="G99" s="39"/>
      <c r="H99" s="3"/>
      <c r="I99" s="32"/>
    </row>
    <row r="100" spans="1:9" hidden="1">
      <c r="A100" s="4" t="s">
        <v>1</v>
      </c>
      <c r="B100" s="7" t="s">
        <v>433</v>
      </c>
      <c r="C100" s="4" t="s">
        <v>602</v>
      </c>
      <c r="D100" s="2" t="s">
        <v>3</v>
      </c>
      <c r="E100" s="3"/>
      <c r="F100" s="34">
        <v>69.040000000000006</v>
      </c>
      <c r="G100" s="39"/>
      <c r="H100" s="3"/>
      <c r="I100" s="32"/>
    </row>
    <row r="101" spans="1:9" hidden="1">
      <c r="A101" s="4" t="s">
        <v>1</v>
      </c>
      <c r="B101" s="7" t="s">
        <v>434</v>
      </c>
      <c r="C101" s="4" t="s">
        <v>482</v>
      </c>
      <c r="D101" s="2" t="s">
        <v>3</v>
      </c>
      <c r="E101" s="3"/>
      <c r="F101" s="34">
        <v>4</v>
      </c>
      <c r="G101" s="39"/>
      <c r="H101" s="3"/>
      <c r="I101" s="32"/>
    </row>
    <row r="102" spans="1:9" hidden="1">
      <c r="A102" s="4" t="s">
        <v>1</v>
      </c>
      <c r="B102" s="7" t="s">
        <v>435</v>
      </c>
      <c r="C102" s="4" t="s">
        <v>603</v>
      </c>
      <c r="D102" s="2" t="s">
        <v>3</v>
      </c>
      <c r="E102" s="3"/>
      <c r="F102" s="34">
        <v>4.3</v>
      </c>
      <c r="G102" s="39"/>
      <c r="H102" s="3"/>
      <c r="I102" s="32"/>
    </row>
    <row r="103" spans="1:9" hidden="1">
      <c r="A103" s="4" t="s">
        <v>1</v>
      </c>
      <c r="B103" s="7" t="s">
        <v>436</v>
      </c>
      <c r="C103" s="4" t="s">
        <v>604</v>
      </c>
      <c r="D103" s="2" t="s">
        <v>3</v>
      </c>
      <c r="E103" s="3"/>
      <c r="F103" s="34">
        <v>4</v>
      </c>
      <c r="G103" s="39"/>
      <c r="H103" s="3"/>
      <c r="I103" s="32"/>
    </row>
    <row r="104" spans="1:9" hidden="1">
      <c r="A104" s="4" t="s">
        <v>1</v>
      </c>
      <c r="B104" s="7" t="s">
        <v>437</v>
      </c>
      <c r="C104" s="4" t="s">
        <v>483</v>
      </c>
      <c r="D104" s="2" t="s">
        <v>3</v>
      </c>
      <c r="E104" s="3"/>
      <c r="F104" s="34">
        <v>8</v>
      </c>
      <c r="G104" s="39"/>
      <c r="H104" s="3"/>
      <c r="I104" s="32"/>
    </row>
    <row r="105" spans="1:9" hidden="1">
      <c r="A105" s="4" t="s">
        <v>1</v>
      </c>
      <c r="B105" s="7" t="s">
        <v>438</v>
      </c>
      <c r="C105" s="4" t="s">
        <v>484</v>
      </c>
      <c r="D105" s="2" t="s">
        <v>3</v>
      </c>
      <c r="E105" s="3"/>
      <c r="F105" s="34">
        <v>5</v>
      </c>
      <c r="G105" s="39"/>
      <c r="H105" s="3"/>
      <c r="I105" s="32"/>
    </row>
    <row r="106" spans="1:9" hidden="1">
      <c r="A106" s="4" t="s">
        <v>1</v>
      </c>
      <c r="B106" s="7" t="s">
        <v>439</v>
      </c>
      <c r="C106" s="4" t="s">
        <v>44</v>
      </c>
      <c r="D106" s="2" t="s">
        <v>3</v>
      </c>
      <c r="E106" s="3"/>
      <c r="F106" s="34">
        <v>2</v>
      </c>
      <c r="G106" s="39"/>
      <c r="H106" s="3"/>
      <c r="I106" s="32"/>
    </row>
    <row r="107" spans="1:9" hidden="1">
      <c r="A107" s="4" t="s">
        <v>1</v>
      </c>
      <c r="B107" s="7" t="s">
        <v>440</v>
      </c>
      <c r="C107" s="4" t="s">
        <v>43</v>
      </c>
      <c r="D107" s="2" t="s">
        <v>3</v>
      </c>
      <c r="E107" s="3"/>
      <c r="F107" s="34">
        <v>2</v>
      </c>
      <c r="G107" s="39"/>
      <c r="H107" s="3"/>
      <c r="I107" s="32"/>
    </row>
    <row r="108" spans="1:9" hidden="1">
      <c r="A108" s="4" t="s">
        <v>1</v>
      </c>
      <c r="B108" s="7" t="s">
        <v>441</v>
      </c>
      <c r="C108" s="4" t="s">
        <v>605</v>
      </c>
      <c r="D108" s="2" t="s">
        <v>3</v>
      </c>
      <c r="E108" s="3"/>
      <c r="F108" s="34">
        <v>5</v>
      </c>
      <c r="G108" s="39"/>
      <c r="H108" s="3"/>
      <c r="I108" s="32"/>
    </row>
    <row r="109" spans="1:9" hidden="1">
      <c r="A109" s="4" t="s">
        <v>1</v>
      </c>
      <c r="B109" s="7" t="s">
        <v>442</v>
      </c>
      <c r="C109" s="4" t="s">
        <v>485</v>
      </c>
      <c r="D109" s="2" t="s">
        <v>3</v>
      </c>
      <c r="E109" s="3"/>
      <c r="F109" s="34">
        <v>26</v>
      </c>
      <c r="G109" s="39"/>
      <c r="H109" s="3"/>
      <c r="I109" s="32"/>
    </row>
    <row r="110" spans="1:9" hidden="1">
      <c r="A110" s="4" t="s">
        <v>1</v>
      </c>
      <c r="B110" s="7" t="s">
        <v>443</v>
      </c>
      <c r="C110" s="4" t="s">
        <v>606</v>
      </c>
      <c r="D110" s="2" t="s">
        <v>3</v>
      </c>
      <c r="E110" s="3"/>
      <c r="F110" s="34">
        <v>8</v>
      </c>
      <c r="G110" s="39"/>
      <c r="H110" s="3"/>
      <c r="I110" s="32"/>
    </row>
    <row r="111" spans="1:9" hidden="1">
      <c r="A111" s="4" t="s">
        <v>1</v>
      </c>
      <c r="B111" s="7" t="s">
        <v>31</v>
      </c>
      <c r="C111" s="4" t="s">
        <v>607</v>
      </c>
      <c r="D111" s="2" t="s">
        <v>3</v>
      </c>
      <c r="E111" s="3"/>
      <c r="F111" s="34">
        <v>30.6</v>
      </c>
      <c r="G111" s="39"/>
      <c r="H111" s="3"/>
      <c r="I111" s="32"/>
    </row>
    <row r="112" spans="1:9" hidden="1">
      <c r="A112" s="4" t="s">
        <v>1</v>
      </c>
      <c r="B112" s="7" t="s">
        <v>444</v>
      </c>
      <c r="C112" s="4" t="s">
        <v>608</v>
      </c>
      <c r="D112" s="2" t="s">
        <v>3</v>
      </c>
      <c r="E112" s="3"/>
      <c r="F112" s="34">
        <v>17.399999999999999</v>
      </c>
      <c r="G112" s="39"/>
      <c r="H112" s="3"/>
      <c r="I112" s="32"/>
    </row>
    <row r="113" spans="1:9" hidden="1">
      <c r="A113" s="4" t="s">
        <v>1</v>
      </c>
      <c r="B113" s="7" t="s">
        <v>445</v>
      </c>
      <c r="C113" s="4" t="s">
        <v>609</v>
      </c>
      <c r="D113" s="2" t="s">
        <v>3</v>
      </c>
      <c r="E113" s="3"/>
      <c r="F113" s="34">
        <v>20</v>
      </c>
      <c r="G113" s="39"/>
      <c r="H113" s="3"/>
      <c r="I113" s="32"/>
    </row>
    <row r="114" spans="1:9" hidden="1">
      <c r="A114" s="4" t="s">
        <v>1</v>
      </c>
      <c r="B114" s="7" t="s">
        <v>446</v>
      </c>
      <c r="C114" s="4" t="s">
        <v>610</v>
      </c>
      <c r="D114" s="2" t="s">
        <v>3</v>
      </c>
      <c r="E114" s="3"/>
      <c r="F114" s="34">
        <v>6</v>
      </c>
      <c r="G114" s="39"/>
      <c r="H114" s="3"/>
      <c r="I114" s="32"/>
    </row>
    <row r="115" spans="1:9" hidden="1">
      <c r="A115" s="4" t="s">
        <v>1</v>
      </c>
      <c r="B115" s="7" t="s">
        <v>447</v>
      </c>
      <c r="C115" s="4" t="s">
        <v>611</v>
      </c>
      <c r="D115" s="2" t="s">
        <v>3</v>
      </c>
      <c r="E115" s="3"/>
      <c r="F115" s="34">
        <v>29.26</v>
      </c>
      <c r="G115" s="39"/>
      <c r="H115" s="3"/>
      <c r="I115" s="32"/>
    </row>
    <row r="116" spans="1:9" hidden="1">
      <c r="A116" s="4" t="s">
        <v>1</v>
      </c>
      <c r="B116" s="7" t="s">
        <v>448</v>
      </c>
      <c r="C116" s="4" t="s">
        <v>612</v>
      </c>
      <c r="D116" s="2" t="s">
        <v>3</v>
      </c>
      <c r="E116" s="3"/>
      <c r="F116" s="34">
        <v>49.6</v>
      </c>
      <c r="G116" s="39"/>
      <c r="H116" s="3"/>
      <c r="I116" s="32"/>
    </row>
    <row r="117" spans="1:9" hidden="1">
      <c r="A117" s="4" t="s">
        <v>1</v>
      </c>
      <c r="B117" s="7" t="s">
        <v>449</v>
      </c>
      <c r="C117" s="4" t="s">
        <v>613</v>
      </c>
      <c r="D117" s="2" t="s">
        <v>3</v>
      </c>
      <c r="E117" s="3"/>
      <c r="F117" s="34">
        <v>5</v>
      </c>
      <c r="G117" s="39"/>
      <c r="H117" s="3"/>
      <c r="I117" s="32"/>
    </row>
    <row r="118" spans="1:9" hidden="1">
      <c r="A118" s="4" t="s">
        <v>1</v>
      </c>
      <c r="B118" s="7" t="s">
        <v>450</v>
      </c>
      <c r="C118" s="4" t="s">
        <v>614</v>
      </c>
      <c r="D118" s="2" t="s">
        <v>3</v>
      </c>
      <c r="E118" s="3"/>
      <c r="F118" s="34">
        <v>21</v>
      </c>
      <c r="G118" s="39"/>
      <c r="H118" s="3"/>
      <c r="I118" s="32"/>
    </row>
    <row r="119" spans="1:9" hidden="1">
      <c r="A119" s="4" t="s">
        <v>1</v>
      </c>
      <c r="B119" s="7" t="s">
        <v>451</v>
      </c>
      <c r="C119" s="4" t="s">
        <v>788</v>
      </c>
      <c r="D119" s="2" t="s">
        <v>3</v>
      </c>
      <c r="E119" s="3"/>
      <c r="F119" s="34">
        <v>30</v>
      </c>
      <c r="G119" s="39"/>
      <c r="H119" s="3"/>
      <c r="I119" s="32"/>
    </row>
    <row r="120" spans="1:9" hidden="1">
      <c r="A120" s="4" t="s">
        <v>1</v>
      </c>
      <c r="B120" s="7" t="s">
        <v>452</v>
      </c>
      <c r="C120" s="4" t="s">
        <v>615</v>
      </c>
      <c r="D120" s="2" t="s">
        <v>3</v>
      </c>
      <c r="E120" s="3"/>
      <c r="F120" s="34">
        <v>15</v>
      </c>
      <c r="G120" s="39"/>
      <c r="H120" s="3"/>
      <c r="I120" s="32"/>
    </row>
    <row r="121" spans="1:9" hidden="1">
      <c r="A121" s="4" t="s">
        <v>1</v>
      </c>
      <c r="B121" s="7" t="s">
        <v>453</v>
      </c>
      <c r="C121" s="4" t="s">
        <v>616</v>
      </c>
      <c r="D121" s="2" t="s">
        <v>3</v>
      </c>
      <c r="E121" s="3"/>
      <c r="F121" s="34">
        <v>15</v>
      </c>
      <c r="G121" s="39"/>
      <c r="H121" s="3"/>
      <c r="I121" s="32"/>
    </row>
    <row r="122" spans="1:9" hidden="1">
      <c r="A122" s="4" t="s">
        <v>1</v>
      </c>
      <c r="B122" s="7" t="s">
        <v>454</v>
      </c>
      <c r="C122" s="4" t="s">
        <v>617</v>
      </c>
      <c r="D122" s="2" t="s">
        <v>3</v>
      </c>
      <c r="E122" s="3"/>
      <c r="F122" s="34">
        <v>26</v>
      </c>
      <c r="G122" s="39"/>
      <c r="H122" s="3"/>
      <c r="I122" s="32"/>
    </row>
    <row r="123" spans="1:9" hidden="1">
      <c r="A123" s="4" t="s">
        <v>1</v>
      </c>
      <c r="B123" s="7" t="s">
        <v>29</v>
      </c>
      <c r="C123" s="4" t="s">
        <v>618</v>
      </c>
      <c r="D123" s="2" t="s">
        <v>3</v>
      </c>
      <c r="E123" s="3"/>
      <c r="F123" s="34">
        <v>46.34</v>
      </c>
      <c r="G123" s="39"/>
      <c r="H123" s="3"/>
      <c r="I123" s="32"/>
    </row>
    <row r="124" spans="1:9" hidden="1">
      <c r="A124" s="4" t="s">
        <v>1</v>
      </c>
      <c r="B124" s="7" t="s">
        <v>455</v>
      </c>
      <c r="C124" s="4" t="s">
        <v>619</v>
      </c>
      <c r="D124" s="2" t="s">
        <v>3</v>
      </c>
      <c r="E124" s="3"/>
      <c r="F124" s="34">
        <v>3</v>
      </c>
      <c r="G124" s="39"/>
      <c r="H124" s="3"/>
      <c r="I124" s="32"/>
    </row>
    <row r="125" spans="1:9" hidden="1">
      <c r="A125" s="4" t="s">
        <v>1</v>
      </c>
      <c r="B125" s="7" t="s">
        <v>456</v>
      </c>
      <c r="C125" s="4" t="s">
        <v>620</v>
      </c>
      <c r="D125" s="2" t="s">
        <v>3</v>
      </c>
      <c r="E125" s="3"/>
      <c r="F125" s="34">
        <v>7</v>
      </c>
      <c r="G125" s="39"/>
      <c r="H125" s="3"/>
      <c r="I125" s="32"/>
    </row>
    <row r="126" spans="1:9" hidden="1">
      <c r="A126" s="4" t="s">
        <v>1</v>
      </c>
      <c r="B126" s="7" t="s">
        <v>457</v>
      </c>
      <c r="C126" s="4" t="s">
        <v>621</v>
      </c>
      <c r="D126" s="2" t="s">
        <v>3</v>
      </c>
      <c r="E126" s="3"/>
      <c r="F126" s="34">
        <v>7</v>
      </c>
      <c r="G126" s="39"/>
      <c r="H126" s="3"/>
      <c r="I126" s="32"/>
    </row>
    <row r="127" spans="1:9" hidden="1">
      <c r="A127" s="4" t="s">
        <v>1</v>
      </c>
      <c r="B127" s="7" t="s">
        <v>458</v>
      </c>
      <c r="C127" s="4" t="s">
        <v>622</v>
      </c>
      <c r="D127" s="2" t="s">
        <v>3</v>
      </c>
      <c r="E127" s="3"/>
      <c r="F127" s="34">
        <v>32.06</v>
      </c>
      <c r="G127" s="39"/>
      <c r="H127" s="3"/>
      <c r="I127" s="32"/>
    </row>
    <row r="128" spans="1:9" hidden="1">
      <c r="A128" s="4" t="s">
        <v>1</v>
      </c>
      <c r="B128" s="7" t="s">
        <v>459</v>
      </c>
      <c r="C128" s="4" t="s">
        <v>623</v>
      </c>
      <c r="D128" s="2" t="s">
        <v>3</v>
      </c>
      <c r="E128" s="3"/>
      <c r="F128" s="34">
        <v>38</v>
      </c>
      <c r="G128" s="39"/>
      <c r="H128" s="3"/>
      <c r="I128" s="32"/>
    </row>
    <row r="129" spans="1:9" hidden="1">
      <c r="A129" s="4" t="s">
        <v>1</v>
      </c>
      <c r="B129" s="7" t="s">
        <v>460</v>
      </c>
      <c r="C129" s="4" t="s">
        <v>624</v>
      </c>
      <c r="D129" s="2" t="s">
        <v>3</v>
      </c>
      <c r="E129" s="3"/>
      <c r="F129" s="34">
        <v>5.76</v>
      </c>
      <c r="G129" s="39"/>
      <c r="H129" s="3"/>
      <c r="I129" s="32"/>
    </row>
    <row r="130" spans="1:9" hidden="1">
      <c r="A130" s="4" t="s">
        <v>1</v>
      </c>
      <c r="B130" s="7" t="s">
        <v>461</v>
      </c>
      <c r="C130" s="4" t="s">
        <v>625</v>
      </c>
      <c r="D130" s="2" t="s">
        <v>3</v>
      </c>
      <c r="E130" s="3"/>
      <c r="F130" s="34">
        <v>16.25</v>
      </c>
      <c r="G130" s="39"/>
      <c r="H130" s="3"/>
      <c r="I130" s="32"/>
    </row>
    <row r="131" spans="1:9" hidden="1">
      <c r="A131" s="4" t="s">
        <v>1</v>
      </c>
      <c r="B131" s="7" t="s">
        <v>462</v>
      </c>
      <c r="C131" s="4" t="s">
        <v>626</v>
      </c>
      <c r="D131" s="2" t="s">
        <v>3</v>
      </c>
      <c r="E131" s="3"/>
      <c r="F131" s="34">
        <v>12.4</v>
      </c>
      <c r="G131" s="39"/>
      <c r="H131" s="3"/>
      <c r="I131" s="32"/>
    </row>
    <row r="132" spans="1:9" hidden="1">
      <c r="A132" s="4" t="s">
        <v>1</v>
      </c>
      <c r="B132" s="7" t="s">
        <v>463</v>
      </c>
      <c r="C132" s="4" t="s">
        <v>627</v>
      </c>
      <c r="D132" s="2" t="s">
        <v>3</v>
      </c>
      <c r="E132" s="3"/>
      <c r="F132" s="34">
        <v>2.84</v>
      </c>
      <c r="G132" s="39"/>
      <c r="H132" s="3"/>
      <c r="I132" s="32"/>
    </row>
    <row r="133" spans="1:9" hidden="1">
      <c r="A133" s="4" t="s">
        <v>1</v>
      </c>
      <c r="B133" s="7" t="s">
        <v>32</v>
      </c>
      <c r="C133" s="4" t="s">
        <v>628</v>
      </c>
      <c r="D133" s="2" t="s">
        <v>3</v>
      </c>
      <c r="E133" s="3"/>
      <c r="F133" s="34">
        <v>3.18</v>
      </c>
      <c r="G133" s="39"/>
      <c r="H133" s="3"/>
      <c r="I133" s="32"/>
    </row>
    <row r="134" spans="1:9" hidden="1">
      <c r="A134" s="12" t="s">
        <v>1</v>
      </c>
      <c r="B134" s="33" t="s">
        <v>486</v>
      </c>
      <c r="C134" s="12" t="s">
        <v>629</v>
      </c>
      <c r="D134" s="13" t="s">
        <v>3</v>
      </c>
      <c r="E134" s="3"/>
      <c r="F134" s="34">
        <v>112</v>
      </c>
      <c r="G134" s="31"/>
      <c r="H134" s="3"/>
      <c r="I134" s="32"/>
    </row>
    <row r="135" spans="1:9" hidden="1">
      <c r="A135" s="4" t="s">
        <v>1</v>
      </c>
      <c r="B135" s="7" t="s">
        <v>487</v>
      </c>
      <c r="C135" s="4" t="s">
        <v>630</v>
      </c>
      <c r="D135" s="2" t="s">
        <v>3</v>
      </c>
      <c r="E135" s="3"/>
      <c r="F135" s="34">
        <v>111</v>
      </c>
      <c r="G135" s="39"/>
      <c r="H135" s="3"/>
      <c r="I135" s="32"/>
    </row>
    <row r="136" spans="1:9" hidden="1">
      <c r="A136" s="4" t="s">
        <v>1</v>
      </c>
      <c r="B136" s="33" t="s">
        <v>488</v>
      </c>
      <c r="C136" s="4" t="s">
        <v>631</v>
      </c>
      <c r="D136" s="2" t="s">
        <v>3</v>
      </c>
      <c r="E136" s="3"/>
      <c r="F136" s="34">
        <v>109</v>
      </c>
      <c r="G136" s="39"/>
      <c r="H136" s="3"/>
      <c r="I136" s="32"/>
    </row>
    <row r="137" spans="1:9" hidden="1">
      <c r="A137" s="4" t="s">
        <v>1</v>
      </c>
      <c r="B137" s="7" t="s">
        <v>489</v>
      </c>
      <c r="C137" s="4" t="s">
        <v>632</v>
      </c>
      <c r="D137" s="2" t="s">
        <v>3</v>
      </c>
      <c r="E137" s="3"/>
      <c r="F137" s="34">
        <v>99</v>
      </c>
      <c r="G137" s="39"/>
      <c r="H137" s="3"/>
      <c r="I137" s="32"/>
    </row>
    <row r="138" spans="1:9" hidden="1">
      <c r="A138" s="4" t="s">
        <v>1</v>
      </c>
      <c r="B138" s="33" t="s">
        <v>490</v>
      </c>
      <c r="C138" s="4" t="s">
        <v>633</v>
      </c>
      <c r="D138" s="2" t="s">
        <v>3</v>
      </c>
      <c r="E138" s="3"/>
      <c r="F138" s="34">
        <v>146.5</v>
      </c>
      <c r="G138" s="39"/>
      <c r="H138" s="3"/>
      <c r="I138" s="32"/>
    </row>
    <row r="139" spans="1:9" hidden="1">
      <c r="A139" s="4" t="s">
        <v>1</v>
      </c>
      <c r="B139" s="7" t="s">
        <v>491</v>
      </c>
      <c r="C139" s="4" t="s">
        <v>634</v>
      </c>
      <c r="D139" s="2" t="s">
        <v>3</v>
      </c>
      <c r="E139" s="3"/>
      <c r="F139" s="34">
        <v>142.5</v>
      </c>
      <c r="G139" s="39"/>
      <c r="H139" s="3"/>
      <c r="I139" s="32"/>
    </row>
    <row r="140" spans="1:9" hidden="1">
      <c r="A140" s="4" t="s">
        <v>1</v>
      </c>
      <c r="B140" s="33" t="s">
        <v>492</v>
      </c>
      <c r="C140" s="4" t="s">
        <v>635</v>
      </c>
      <c r="D140" s="2" t="s">
        <v>3</v>
      </c>
      <c r="E140" s="3"/>
      <c r="F140" s="34">
        <v>143</v>
      </c>
      <c r="G140" s="39"/>
      <c r="H140" s="3"/>
      <c r="I140" s="32"/>
    </row>
    <row r="141" spans="1:9" hidden="1">
      <c r="A141" s="4" t="s">
        <v>1</v>
      </c>
      <c r="B141" s="7" t="s">
        <v>493</v>
      </c>
      <c r="C141" s="4" t="s">
        <v>636</v>
      </c>
      <c r="D141" s="2" t="s">
        <v>3</v>
      </c>
      <c r="E141" s="3"/>
      <c r="F141" s="34">
        <v>122</v>
      </c>
      <c r="G141" s="39"/>
      <c r="H141" s="3"/>
      <c r="I141" s="32"/>
    </row>
    <row r="142" spans="1:9" hidden="1">
      <c r="A142" s="4" t="s">
        <v>1</v>
      </c>
      <c r="B142" s="33" t="s">
        <v>494</v>
      </c>
      <c r="C142" s="4" t="s">
        <v>637</v>
      </c>
      <c r="D142" s="2" t="s">
        <v>3</v>
      </c>
      <c r="E142" s="3"/>
      <c r="F142" s="34">
        <v>130</v>
      </c>
      <c r="G142" s="39"/>
      <c r="H142" s="3"/>
      <c r="I142" s="32"/>
    </row>
    <row r="143" spans="1:9" hidden="1">
      <c r="A143" s="4" t="s">
        <v>1</v>
      </c>
      <c r="B143" s="7" t="s">
        <v>495</v>
      </c>
      <c r="C143" s="4" t="s">
        <v>638</v>
      </c>
      <c r="D143" s="2" t="s">
        <v>3</v>
      </c>
      <c r="E143" s="3"/>
      <c r="F143" s="34"/>
      <c r="G143" s="39">
        <v>221</v>
      </c>
      <c r="H143" s="3"/>
      <c r="I143" s="32"/>
    </row>
    <row r="144" spans="1:9" hidden="1">
      <c r="A144" s="4" t="s">
        <v>1</v>
      </c>
      <c r="B144" s="33" t="s">
        <v>496</v>
      </c>
      <c r="C144" s="4" t="s">
        <v>639</v>
      </c>
      <c r="D144" s="2" t="s">
        <v>3</v>
      </c>
      <c r="E144" s="3"/>
      <c r="F144" s="34"/>
      <c r="G144" s="39">
        <v>220</v>
      </c>
      <c r="H144" s="3"/>
      <c r="I144" s="32"/>
    </row>
    <row r="145" spans="1:9" hidden="1">
      <c r="A145" s="4" t="s">
        <v>1</v>
      </c>
      <c r="B145" s="7" t="s">
        <v>497</v>
      </c>
      <c r="C145" s="4" t="s">
        <v>640</v>
      </c>
      <c r="D145" s="2" t="s">
        <v>3</v>
      </c>
      <c r="E145" s="3"/>
      <c r="F145" s="34"/>
      <c r="G145" s="39">
        <v>199</v>
      </c>
      <c r="H145" s="3"/>
      <c r="I145" s="32"/>
    </row>
    <row r="146" spans="1:9" hidden="1">
      <c r="A146" s="4" t="s">
        <v>1</v>
      </c>
      <c r="B146" s="33" t="s">
        <v>498</v>
      </c>
      <c r="C146" s="4" t="s">
        <v>641</v>
      </c>
      <c r="D146" s="2" t="s">
        <v>3</v>
      </c>
      <c r="E146" s="3"/>
      <c r="F146" s="34"/>
      <c r="G146" s="39">
        <v>216</v>
      </c>
      <c r="H146" s="3"/>
      <c r="I146" s="32"/>
    </row>
    <row r="147" spans="1:9" hidden="1">
      <c r="A147" s="4" t="s">
        <v>1</v>
      </c>
      <c r="B147" s="7" t="s">
        <v>499</v>
      </c>
      <c r="C147" s="4" t="s">
        <v>642</v>
      </c>
      <c r="D147" s="2" t="s">
        <v>3</v>
      </c>
      <c r="E147" s="3"/>
      <c r="F147" s="34"/>
      <c r="G147" s="39">
        <v>157</v>
      </c>
      <c r="H147" s="3"/>
      <c r="I147" s="32"/>
    </row>
    <row r="148" spans="1:9" hidden="1">
      <c r="A148" s="4" t="s">
        <v>1</v>
      </c>
      <c r="B148" s="33" t="s">
        <v>500</v>
      </c>
      <c r="C148" s="4" t="s">
        <v>643</v>
      </c>
      <c r="D148" s="2" t="s">
        <v>3</v>
      </c>
      <c r="E148" s="3"/>
      <c r="F148" s="34"/>
      <c r="G148" s="39">
        <v>161</v>
      </c>
      <c r="H148" s="3"/>
      <c r="I148" s="32"/>
    </row>
    <row r="149" spans="1:9" hidden="1">
      <c r="A149" s="4" t="s">
        <v>1</v>
      </c>
      <c r="B149" s="7" t="s">
        <v>501</v>
      </c>
      <c r="C149" s="4" t="s">
        <v>644</v>
      </c>
      <c r="D149" s="2" t="s">
        <v>3</v>
      </c>
      <c r="E149" s="3"/>
      <c r="F149" s="34"/>
      <c r="G149" s="39">
        <v>216</v>
      </c>
      <c r="H149" s="3"/>
      <c r="I149" s="32"/>
    </row>
    <row r="150" spans="1:9" hidden="1">
      <c r="A150" s="4" t="s">
        <v>1</v>
      </c>
      <c r="B150" s="33" t="s">
        <v>502</v>
      </c>
      <c r="C150" s="4" t="s">
        <v>645</v>
      </c>
      <c r="D150" s="2" t="s">
        <v>3</v>
      </c>
      <c r="E150" s="3"/>
      <c r="F150" s="34"/>
      <c r="G150" s="39">
        <v>224</v>
      </c>
      <c r="H150" s="3"/>
      <c r="I150" s="32"/>
    </row>
    <row r="151" spans="1:9" hidden="1">
      <c r="A151" s="4" t="s">
        <v>1</v>
      </c>
      <c r="B151" s="7" t="s">
        <v>503</v>
      </c>
      <c r="C151" s="4" t="s">
        <v>646</v>
      </c>
      <c r="D151" s="2" t="s">
        <v>3</v>
      </c>
      <c r="E151" s="3"/>
      <c r="F151" s="34"/>
      <c r="G151" s="39">
        <v>130.5</v>
      </c>
      <c r="H151" s="3"/>
      <c r="I151" s="32"/>
    </row>
    <row r="152" spans="1:9" hidden="1">
      <c r="A152" s="4" t="s">
        <v>1</v>
      </c>
      <c r="B152" s="33" t="s">
        <v>504</v>
      </c>
      <c r="C152" s="4" t="s">
        <v>647</v>
      </c>
      <c r="D152" s="2" t="s">
        <v>3</v>
      </c>
      <c r="E152" s="3"/>
      <c r="F152" s="34"/>
      <c r="G152" s="39">
        <v>112</v>
      </c>
      <c r="H152" s="3"/>
      <c r="I152" s="32"/>
    </row>
    <row r="153" spans="1:9" hidden="1">
      <c r="A153" s="4" t="s">
        <v>1</v>
      </c>
      <c r="B153" s="7" t="s">
        <v>505</v>
      </c>
      <c r="C153" s="4" t="s">
        <v>648</v>
      </c>
      <c r="D153" s="2" t="s">
        <v>3</v>
      </c>
      <c r="E153" s="3"/>
      <c r="F153" s="34"/>
      <c r="G153" s="39">
        <v>129</v>
      </c>
      <c r="H153" s="3"/>
      <c r="I153" s="32"/>
    </row>
    <row r="154" spans="1:9" hidden="1">
      <c r="A154" s="4" t="s">
        <v>1</v>
      </c>
      <c r="B154" s="33" t="s">
        <v>506</v>
      </c>
      <c r="C154" s="4" t="s">
        <v>649</v>
      </c>
      <c r="D154" s="2" t="s">
        <v>3</v>
      </c>
      <c r="E154" s="3"/>
      <c r="F154" s="34"/>
      <c r="G154" s="39">
        <f>113+10</f>
        <v>123</v>
      </c>
      <c r="H154" s="3"/>
      <c r="I154" s="32"/>
    </row>
    <row r="155" spans="1:9" hidden="1">
      <c r="A155" s="4" t="s">
        <v>1</v>
      </c>
      <c r="B155" s="7" t="s">
        <v>507</v>
      </c>
      <c r="C155" s="4" t="s">
        <v>650</v>
      </c>
      <c r="D155" s="2" t="s">
        <v>3</v>
      </c>
      <c r="E155" s="3"/>
      <c r="F155" s="34"/>
      <c r="G155" s="39">
        <v>118</v>
      </c>
      <c r="H155" s="3"/>
      <c r="I155" s="32"/>
    </row>
    <row r="156" spans="1:9" hidden="1">
      <c r="A156" s="4" t="s">
        <v>1</v>
      </c>
      <c r="B156" s="33" t="s">
        <v>508</v>
      </c>
      <c r="C156" s="4" t="s">
        <v>651</v>
      </c>
      <c r="D156" s="2" t="s">
        <v>3</v>
      </c>
      <c r="E156" s="3"/>
      <c r="F156" s="34"/>
      <c r="G156" s="39">
        <v>133.5</v>
      </c>
      <c r="H156" s="3"/>
      <c r="I156" s="32"/>
    </row>
    <row r="157" spans="1:9" hidden="1">
      <c r="A157" s="4" t="s">
        <v>1</v>
      </c>
      <c r="B157" s="7" t="s">
        <v>509</v>
      </c>
      <c r="C157" s="4" t="s">
        <v>652</v>
      </c>
      <c r="D157" s="2" t="s">
        <v>3</v>
      </c>
      <c r="E157" s="3"/>
      <c r="F157" s="34"/>
      <c r="G157" s="39">
        <v>113</v>
      </c>
      <c r="H157" s="3"/>
      <c r="I157" s="32"/>
    </row>
    <row r="158" spans="1:9" hidden="1">
      <c r="A158" s="4" t="s">
        <v>1</v>
      </c>
      <c r="B158" s="33" t="s">
        <v>510</v>
      </c>
      <c r="C158" s="4" t="s">
        <v>653</v>
      </c>
      <c r="D158" s="2" t="s">
        <v>3</v>
      </c>
      <c r="E158" s="3"/>
      <c r="F158" s="34"/>
      <c r="G158" s="39">
        <v>43.5</v>
      </c>
      <c r="H158" s="3"/>
      <c r="I158" s="32"/>
    </row>
    <row r="159" spans="1:9" hidden="1">
      <c r="A159" s="4" t="s">
        <v>1</v>
      </c>
      <c r="B159" s="7" t="s">
        <v>511</v>
      </c>
      <c r="C159" s="4" t="s">
        <v>654</v>
      </c>
      <c r="D159" s="2" t="s">
        <v>3</v>
      </c>
      <c r="E159" s="3"/>
      <c r="F159" s="34"/>
      <c r="G159" s="39">
        <v>111</v>
      </c>
      <c r="H159" s="3"/>
      <c r="I159" s="32"/>
    </row>
    <row r="160" spans="1:9" hidden="1">
      <c r="A160" s="4" t="s">
        <v>1</v>
      </c>
      <c r="B160" s="33" t="s">
        <v>512</v>
      </c>
      <c r="C160" s="4" t="s">
        <v>655</v>
      </c>
      <c r="D160" s="2" t="s">
        <v>3</v>
      </c>
      <c r="E160" s="3"/>
      <c r="F160" s="34"/>
      <c r="G160" s="39">
        <v>116</v>
      </c>
      <c r="H160" s="3"/>
      <c r="I160" s="32"/>
    </row>
    <row r="161" spans="1:9" hidden="1">
      <c r="A161" s="4" t="s">
        <v>1</v>
      </c>
      <c r="B161" s="33" t="s">
        <v>513</v>
      </c>
      <c r="C161" s="4" t="s">
        <v>656</v>
      </c>
      <c r="D161" s="2" t="s">
        <v>3</v>
      </c>
      <c r="E161" s="3"/>
      <c r="F161" s="34"/>
      <c r="G161" s="39">
        <v>170</v>
      </c>
      <c r="H161" s="3"/>
      <c r="I161" s="32"/>
    </row>
    <row r="162" spans="1:9" hidden="1">
      <c r="A162" s="4" t="s">
        <v>1</v>
      </c>
      <c r="B162" s="7" t="s">
        <v>514</v>
      </c>
      <c r="C162" s="4" t="s">
        <v>657</v>
      </c>
      <c r="D162" s="2" t="s">
        <v>3</v>
      </c>
      <c r="E162" s="3"/>
      <c r="F162" s="34"/>
      <c r="G162" s="39">
        <v>170</v>
      </c>
      <c r="H162" s="3"/>
      <c r="I162" s="32"/>
    </row>
    <row r="163" spans="1:9" hidden="1">
      <c r="A163" s="4" t="s">
        <v>1</v>
      </c>
      <c r="B163" s="7" t="s">
        <v>515</v>
      </c>
      <c r="C163" s="4" t="s">
        <v>658</v>
      </c>
      <c r="D163" s="2" t="s">
        <v>3</v>
      </c>
      <c r="E163" s="3"/>
      <c r="F163" s="34"/>
      <c r="G163" s="39">
        <v>172.5</v>
      </c>
      <c r="H163" s="3"/>
      <c r="I163" s="32"/>
    </row>
    <row r="164" spans="1:9" hidden="1">
      <c r="A164" s="4" t="s">
        <v>1</v>
      </c>
      <c r="B164" s="7" t="s">
        <v>659</v>
      </c>
      <c r="C164" s="4" t="s">
        <v>660</v>
      </c>
      <c r="D164" s="2" t="s">
        <v>3</v>
      </c>
      <c r="E164" s="3"/>
      <c r="F164" s="34"/>
      <c r="G164" s="39">
        <v>112</v>
      </c>
      <c r="H164" s="3"/>
      <c r="I164" s="32"/>
    </row>
    <row r="165" spans="1:9" hidden="1">
      <c r="A165" s="4" t="s">
        <v>1</v>
      </c>
      <c r="B165" s="7" t="s">
        <v>661</v>
      </c>
      <c r="C165" s="4" t="s">
        <v>662</v>
      </c>
      <c r="D165" s="2" t="s">
        <v>3</v>
      </c>
      <c r="E165" s="3"/>
      <c r="F165" s="34"/>
      <c r="G165" s="39">
        <v>110</v>
      </c>
      <c r="H165" s="3"/>
      <c r="I165" s="32"/>
    </row>
    <row r="166" spans="1:9" hidden="1">
      <c r="A166" s="4" t="s">
        <v>1</v>
      </c>
      <c r="B166" s="7" t="s">
        <v>663</v>
      </c>
      <c r="C166" s="4" t="s">
        <v>664</v>
      </c>
      <c r="D166" s="2" t="s">
        <v>3</v>
      </c>
      <c r="E166" s="3"/>
      <c r="F166" s="34"/>
      <c r="G166" s="39">
        <v>112</v>
      </c>
      <c r="H166" s="3"/>
      <c r="I166" s="32"/>
    </row>
    <row r="167" spans="1:9" hidden="1">
      <c r="A167" s="4" t="s">
        <v>1</v>
      </c>
      <c r="B167" s="7" t="s">
        <v>665</v>
      </c>
      <c r="C167" s="4" t="s">
        <v>666</v>
      </c>
      <c r="D167" s="2" t="s">
        <v>3</v>
      </c>
      <c r="E167" s="3"/>
      <c r="F167" s="34"/>
      <c r="G167" s="39">
        <v>111</v>
      </c>
      <c r="H167" s="3"/>
      <c r="I167" s="32"/>
    </row>
    <row r="168" spans="1:9" hidden="1">
      <c r="A168" s="4" t="s">
        <v>1</v>
      </c>
      <c r="B168" s="7" t="s">
        <v>667</v>
      </c>
      <c r="C168" s="4" t="s">
        <v>668</v>
      </c>
      <c r="D168" s="2" t="s">
        <v>3</v>
      </c>
      <c r="E168" s="3"/>
      <c r="F168" s="34"/>
      <c r="G168" s="39">
        <v>113</v>
      </c>
      <c r="H168" s="3"/>
      <c r="I168" s="32"/>
    </row>
    <row r="169" spans="1:9" hidden="1">
      <c r="A169" s="4" t="s">
        <v>1</v>
      </c>
      <c r="B169" s="7" t="s">
        <v>669</v>
      </c>
      <c r="C169" s="4" t="s">
        <v>670</v>
      </c>
      <c r="D169" s="2" t="s">
        <v>3</v>
      </c>
      <c r="E169" s="3"/>
      <c r="F169" s="34"/>
      <c r="G169" s="39">
        <v>132</v>
      </c>
      <c r="H169" s="3"/>
      <c r="I169" s="32"/>
    </row>
    <row r="170" spans="1:9" hidden="1">
      <c r="A170" s="4" t="s">
        <v>1</v>
      </c>
      <c r="B170" s="7" t="s">
        <v>671</v>
      </c>
      <c r="C170" s="4" t="s">
        <v>672</v>
      </c>
      <c r="D170" s="2" t="s">
        <v>3</v>
      </c>
      <c r="E170" s="3"/>
      <c r="F170" s="34"/>
      <c r="G170" s="39">
        <v>112</v>
      </c>
      <c r="H170" s="3"/>
      <c r="I170" s="32"/>
    </row>
    <row r="171" spans="1:9" hidden="1">
      <c r="A171" s="4" t="s">
        <v>1</v>
      </c>
      <c r="B171" s="7" t="s">
        <v>673</v>
      </c>
      <c r="C171" s="4" t="s">
        <v>674</v>
      </c>
      <c r="D171" s="2" t="s">
        <v>3</v>
      </c>
      <c r="E171" s="3"/>
      <c r="F171" s="34"/>
      <c r="G171" s="39">
        <v>118</v>
      </c>
      <c r="H171" s="3"/>
      <c r="I171" s="32"/>
    </row>
    <row r="172" spans="1:9" hidden="1">
      <c r="A172" s="4" t="s">
        <v>1</v>
      </c>
      <c r="B172" s="7" t="s">
        <v>675</v>
      </c>
      <c r="C172" s="4" t="s">
        <v>676</v>
      </c>
      <c r="D172" s="2" t="s">
        <v>3</v>
      </c>
      <c r="E172" s="3"/>
      <c r="F172" s="34"/>
      <c r="G172" s="39">
        <v>116</v>
      </c>
      <c r="H172" s="3"/>
      <c r="I172" s="32"/>
    </row>
    <row r="173" spans="1:9" hidden="1">
      <c r="A173" s="4" t="s">
        <v>1</v>
      </c>
      <c r="B173" s="7" t="s">
        <v>677</v>
      </c>
      <c r="C173" s="4" t="s">
        <v>678</v>
      </c>
      <c r="D173" s="2" t="s">
        <v>3</v>
      </c>
      <c r="E173" s="3"/>
      <c r="F173" s="34"/>
      <c r="G173" s="39">
        <v>115</v>
      </c>
      <c r="H173" s="3"/>
      <c r="I173" s="32"/>
    </row>
    <row r="174" spans="1:9" hidden="1">
      <c r="A174" s="4" t="s">
        <v>1</v>
      </c>
      <c r="B174" s="7" t="s">
        <v>679</v>
      </c>
      <c r="C174" s="4" t="s">
        <v>680</v>
      </c>
      <c r="D174" s="2" t="s">
        <v>3</v>
      </c>
      <c r="E174" s="3"/>
      <c r="F174" s="34"/>
      <c r="G174" s="39">
        <v>102</v>
      </c>
      <c r="H174" s="3"/>
      <c r="I174" s="32"/>
    </row>
    <row r="175" spans="1:9" hidden="1">
      <c r="A175" s="4" t="s">
        <v>1</v>
      </c>
      <c r="B175" s="7" t="s">
        <v>681</v>
      </c>
      <c r="C175" s="4" t="s">
        <v>682</v>
      </c>
      <c r="D175" s="2" t="s">
        <v>3</v>
      </c>
      <c r="E175" s="3"/>
      <c r="F175" s="34"/>
      <c r="G175" s="39">
        <v>138</v>
      </c>
      <c r="H175" s="3"/>
      <c r="I175" s="32"/>
    </row>
    <row r="176" spans="1:9" hidden="1">
      <c r="A176" s="4" t="s">
        <v>1</v>
      </c>
      <c r="B176" s="7" t="s">
        <v>683</v>
      </c>
      <c r="C176" s="4" t="s">
        <v>684</v>
      </c>
      <c r="D176" s="2" t="s">
        <v>3</v>
      </c>
      <c r="E176" s="3"/>
      <c r="F176" s="34"/>
      <c r="G176" s="39">
        <v>122.9</v>
      </c>
      <c r="H176" s="3"/>
      <c r="I176" s="32"/>
    </row>
    <row r="177" spans="1:9">
      <c r="A177" s="6"/>
      <c r="B177" s="7"/>
      <c r="C177" s="6"/>
      <c r="D177" s="16"/>
      <c r="E177" s="3"/>
      <c r="F177" s="34"/>
      <c r="G177" s="40"/>
      <c r="H177" s="3"/>
      <c r="I177" s="35"/>
    </row>
    <row r="178" spans="1:9">
      <c r="A178" s="4" t="s">
        <v>2</v>
      </c>
      <c r="B178" s="7" t="s">
        <v>27</v>
      </c>
      <c r="C178" s="4" t="s">
        <v>564</v>
      </c>
      <c r="D178" s="2" t="s">
        <v>3</v>
      </c>
      <c r="E178" s="3"/>
      <c r="F178" s="41">
        <v>0</v>
      </c>
      <c r="G178" s="39">
        <v>200</v>
      </c>
      <c r="H178" s="3"/>
      <c r="I178" s="32"/>
    </row>
    <row r="179" spans="1:9">
      <c r="A179" s="4" t="s">
        <v>2</v>
      </c>
      <c r="B179" s="7" t="s">
        <v>28</v>
      </c>
      <c r="C179" s="4" t="s">
        <v>565</v>
      </c>
      <c r="D179" s="2" t="s">
        <v>3</v>
      </c>
      <c r="E179" s="3"/>
      <c r="F179" s="34">
        <v>0</v>
      </c>
      <c r="G179" s="39">
        <f>35*100</f>
        <v>3500</v>
      </c>
      <c r="H179" s="3"/>
      <c r="I179" s="32"/>
    </row>
    <row r="180" spans="1:9">
      <c r="A180" s="4" t="s">
        <v>2</v>
      </c>
      <c r="B180" s="7" t="s">
        <v>559</v>
      </c>
      <c r="C180" s="4" t="s">
        <v>562</v>
      </c>
      <c r="D180" s="2" t="s">
        <v>3</v>
      </c>
      <c r="E180" s="3"/>
      <c r="F180" s="34">
        <v>180</v>
      </c>
      <c r="G180" s="39">
        <v>200</v>
      </c>
      <c r="H180" s="3"/>
      <c r="I180" s="32">
        <v>3.5</v>
      </c>
    </row>
    <row r="181" spans="1:9">
      <c r="A181" s="4" t="s">
        <v>2</v>
      </c>
      <c r="B181" s="7" t="s">
        <v>560</v>
      </c>
      <c r="C181" s="4" t="s">
        <v>908</v>
      </c>
      <c r="D181" s="2" t="s">
        <v>3</v>
      </c>
      <c r="E181" s="3"/>
      <c r="F181" s="34">
        <v>5000</v>
      </c>
      <c r="G181" s="39">
        <v>200</v>
      </c>
      <c r="H181" s="3"/>
      <c r="I181" s="32">
        <v>7.8E-2</v>
      </c>
    </row>
    <row r="182" spans="1:9">
      <c r="A182" s="4" t="s">
        <v>558</v>
      </c>
      <c r="B182" s="7" t="s">
        <v>561</v>
      </c>
      <c r="C182" s="4" t="s">
        <v>563</v>
      </c>
      <c r="D182" s="2" t="s">
        <v>3</v>
      </c>
      <c r="E182" s="3"/>
      <c r="F182" s="34">
        <v>0</v>
      </c>
      <c r="G182" s="39">
        <v>100</v>
      </c>
      <c r="H182" s="3"/>
      <c r="I182" s="32"/>
    </row>
    <row r="183" spans="1:9" ht="22.1" customHeight="1">
      <c r="A183" s="46"/>
      <c r="B183" s="47"/>
      <c r="C183" s="46"/>
      <c r="D183" s="47"/>
      <c r="E183" s="48"/>
      <c r="F183" s="49"/>
      <c r="G183" s="40"/>
      <c r="H183" s="3"/>
      <c r="I183" s="35"/>
    </row>
    <row r="184" spans="1:9">
      <c r="A184" s="4" t="s">
        <v>9</v>
      </c>
      <c r="B184" s="7" t="s">
        <v>198</v>
      </c>
      <c r="C184" s="4" t="s">
        <v>23</v>
      </c>
      <c r="D184" s="2" t="s">
        <v>3</v>
      </c>
      <c r="E184" s="3"/>
      <c r="F184" s="34">
        <v>48</v>
      </c>
      <c r="G184" s="39"/>
      <c r="H184" s="3"/>
      <c r="I184" s="32"/>
    </row>
    <row r="185" spans="1:9">
      <c r="A185" s="4" t="s">
        <v>9</v>
      </c>
      <c r="B185" s="7" t="s">
        <v>199</v>
      </c>
      <c r="C185" s="4" t="s">
        <v>685</v>
      </c>
      <c r="D185" s="2" t="s">
        <v>3</v>
      </c>
      <c r="E185" s="3"/>
      <c r="F185" s="34">
        <v>180</v>
      </c>
      <c r="G185" s="39"/>
      <c r="H185" s="3"/>
      <c r="I185" s="32"/>
    </row>
    <row r="186" spans="1:9">
      <c r="A186" s="4" t="s">
        <v>9</v>
      </c>
      <c r="B186" s="7" t="s">
        <v>200</v>
      </c>
      <c r="C186" s="4" t="s">
        <v>229</v>
      </c>
      <c r="D186" s="2" t="s">
        <v>3</v>
      </c>
      <c r="E186" s="3"/>
      <c r="F186" s="34">
        <v>35</v>
      </c>
      <c r="G186" s="39"/>
      <c r="H186" s="3"/>
      <c r="I186" s="32"/>
    </row>
    <row r="187" spans="1:9">
      <c r="A187" s="4" t="s">
        <v>9</v>
      </c>
      <c r="B187" s="7" t="s">
        <v>201</v>
      </c>
      <c r="C187" s="4" t="s">
        <v>230</v>
      </c>
      <c r="D187" s="2" t="s">
        <v>3</v>
      </c>
      <c r="E187" s="3"/>
      <c r="F187" s="34">
        <v>4</v>
      </c>
      <c r="G187" s="39"/>
      <c r="H187" s="3"/>
      <c r="I187" s="32"/>
    </row>
    <row r="188" spans="1:9">
      <c r="A188" s="4" t="s">
        <v>9</v>
      </c>
      <c r="B188" s="7" t="s">
        <v>202</v>
      </c>
      <c r="C188" s="4" t="s">
        <v>686</v>
      </c>
      <c r="D188" s="2" t="s">
        <v>3</v>
      </c>
      <c r="E188" s="3"/>
      <c r="F188" s="34">
        <v>65</v>
      </c>
      <c r="G188" s="39"/>
      <c r="H188" s="3"/>
      <c r="I188" s="32"/>
    </row>
    <row r="189" spans="1:9">
      <c r="A189" s="4" t="s">
        <v>47</v>
      </c>
      <c r="B189" s="7" t="s">
        <v>203</v>
      </c>
      <c r="C189" s="4" t="s">
        <v>231</v>
      </c>
      <c r="D189" s="2" t="s">
        <v>3</v>
      </c>
      <c r="E189" s="3"/>
      <c r="F189" s="34">
        <v>2</v>
      </c>
      <c r="G189" s="39"/>
      <c r="H189" s="3"/>
      <c r="I189" s="32"/>
    </row>
    <row r="190" spans="1:9">
      <c r="A190" s="4" t="s">
        <v>9</v>
      </c>
      <c r="B190" s="7" t="s">
        <v>204</v>
      </c>
      <c r="C190" s="4" t="s">
        <v>243</v>
      </c>
      <c r="D190" s="2" t="s">
        <v>3</v>
      </c>
      <c r="E190" s="3"/>
      <c r="F190" s="34">
        <v>67</v>
      </c>
      <c r="G190" s="39"/>
      <c r="H190" s="3"/>
      <c r="I190" s="32"/>
    </row>
    <row r="191" spans="1:9">
      <c r="A191" s="4" t="s">
        <v>9</v>
      </c>
      <c r="B191" s="7" t="s">
        <v>205</v>
      </c>
      <c r="C191" s="4" t="s">
        <v>234</v>
      </c>
      <c r="D191" s="2" t="s">
        <v>3</v>
      </c>
      <c r="E191" s="3"/>
      <c r="F191" s="34">
        <v>8</v>
      </c>
      <c r="G191" s="39"/>
      <c r="H191" s="3"/>
      <c r="I191" s="32"/>
    </row>
    <row r="192" spans="1:9">
      <c r="A192" s="4" t="s">
        <v>9</v>
      </c>
      <c r="B192" s="7" t="s">
        <v>206</v>
      </c>
      <c r="C192" s="4" t="s">
        <v>687</v>
      </c>
      <c r="D192" s="2" t="s">
        <v>3</v>
      </c>
      <c r="E192" s="3"/>
      <c r="F192" s="34">
        <v>43</v>
      </c>
      <c r="G192" s="39"/>
      <c r="H192" s="3"/>
      <c r="I192" s="32"/>
    </row>
    <row r="193" spans="1:9">
      <c r="A193" s="4" t="s">
        <v>9</v>
      </c>
      <c r="B193" s="7" t="s">
        <v>207</v>
      </c>
      <c r="C193" s="4" t="s">
        <v>233</v>
      </c>
      <c r="D193" s="2" t="s">
        <v>3</v>
      </c>
      <c r="E193" s="3"/>
      <c r="F193" s="34">
        <v>2</v>
      </c>
      <c r="G193" s="39"/>
      <c r="H193" s="3"/>
      <c r="I193" s="32"/>
    </row>
    <row r="194" spans="1:9">
      <c r="A194" s="4" t="s">
        <v>47</v>
      </c>
      <c r="B194" s="7" t="s">
        <v>208</v>
      </c>
      <c r="C194" s="4" t="s">
        <v>235</v>
      </c>
      <c r="D194" s="2" t="s">
        <v>3</v>
      </c>
      <c r="E194" s="3"/>
      <c r="F194" s="34">
        <v>23</v>
      </c>
      <c r="G194" s="39"/>
      <c r="H194" s="3"/>
      <c r="I194" s="32"/>
    </row>
    <row r="195" spans="1:9">
      <c r="A195" s="4" t="s">
        <v>9</v>
      </c>
      <c r="B195" s="7" t="s">
        <v>209</v>
      </c>
      <c r="C195" s="4" t="s">
        <v>236</v>
      </c>
      <c r="D195" s="2" t="s">
        <v>3</v>
      </c>
      <c r="E195" s="3"/>
      <c r="F195" s="34">
        <v>19</v>
      </c>
      <c r="G195" s="39"/>
      <c r="H195" s="3"/>
      <c r="I195" s="32"/>
    </row>
    <row r="196" spans="1:9">
      <c r="A196" s="4" t="s">
        <v>9</v>
      </c>
      <c r="B196" s="7" t="s">
        <v>210</v>
      </c>
      <c r="C196" s="4" t="s">
        <v>688</v>
      </c>
      <c r="D196" s="2" t="s">
        <v>3</v>
      </c>
      <c r="E196" s="3"/>
      <c r="F196" s="34">
        <v>90</v>
      </c>
      <c r="G196" s="39">
        <f>50+150</f>
        <v>200</v>
      </c>
      <c r="H196" s="3"/>
      <c r="I196" s="32"/>
    </row>
    <row r="197" spans="1:9">
      <c r="A197" s="4" t="s">
        <v>9</v>
      </c>
      <c r="B197" s="7" t="s">
        <v>211</v>
      </c>
      <c r="C197" s="4" t="s">
        <v>237</v>
      </c>
      <c r="D197" s="2" t="s">
        <v>3</v>
      </c>
      <c r="E197" s="3"/>
      <c r="F197" s="34">
        <v>8</v>
      </c>
      <c r="G197" s="39"/>
      <c r="H197" s="3"/>
      <c r="I197" s="32"/>
    </row>
    <row r="198" spans="1:9">
      <c r="A198" s="4" t="s">
        <v>9</v>
      </c>
      <c r="B198" s="7" t="s">
        <v>212</v>
      </c>
      <c r="C198" s="4" t="s">
        <v>244</v>
      </c>
      <c r="D198" s="2" t="s">
        <v>3</v>
      </c>
      <c r="E198" s="3"/>
      <c r="F198" s="34">
        <v>50</v>
      </c>
      <c r="G198" s="39"/>
      <c r="H198" s="3"/>
      <c r="I198" s="32"/>
    </row>
    <row r="199" spans="1:9">
      <c r="A199" s="4" t="s">
        <v>9</v>
      </c>
      <c r="B199" s="7" t="s">
        <v>213</v>
      </c>
      <c r="C199" s="4" t="s">
        <v>239</v>
      </c>
      <c r="D199" s="2" t="s">
        <v>3</v>
      </c>
      <c r="E199" s="3"/>
      <c r="F199" s="34">
        <v>50</v>
      </c>
      <c r="G199" s="39"/>
      <c r="H199" s="3"/>
      <c r="I199" s="32"/>
    </row>
    <row r="200" spans="1:9">
      <c r="A200" s="4" t="s">
        <v>9</v>
      </c>
      <c r="B200" s="7" t="s">
        <v>214</v>
      </c>
      <c r="C200" s="4" t="s">
        <v>238</v>
      </c>
      <c r="D200" s="2" t="s">
        <v>3</v>
      </c>
      <c r="E200" s="3"/>
      <c r="F200" s="34">
        <v>180</v>
      </c>
      <c r="G200" s="39"/>
      <c r="H200" s="3"/>
      <c r="I200" s="32"/>
    </row>
    <row r="201" spans="1:9">
      <c r="A201" s="4" t="s">
        <v>9</v>
      </c>
      <c r="B201" s="7" t="s">
        <v>216</v>
      </c>
      <c r="C201" s="4" t="s">
        <v>240</v>
      </c>
      <c r="D201" s="2" t="s">
        <v>3</v>
      </c>
      <c r="E201" s="3"/>
      <c r="F201" s="34">
        <v>140</v>
      </c>
      <c r="G201" s="39"/>
      <c r="H201" s="3"/>
      <c r="I201" s="32"/>
    </row>
    <row r="202" spans="1:9">
      <c r="A202" s="4" t="s">
        <v>47</v>
      </c>
      <c r="B202" s="7" t="s">
        <v>217</v>
      </c>
      <c r="C202" s="4" t="s">
        <v>241</v>
      </c>
      <c r="D202" s="2" t="s">
        <v>3</v>
      </c>
      <c r="E202" s="3"/>
      <c r="F202" s="34">
        <v>78</v>
      </c>
      <c r="G202" s="39"/>
      <c r="H202" s="3"/>
      <c r="I202" s="32"/>
    </row>
    <row r="203" spans="1:9">
      <c r="A203" s="4" t="s">
        <v>47</v>
      </c>
      <c r="B203" s="7" t="s">
        <v>218</v>
      </c>
      <c r="C203" s="4" t="s">
        <v>242</v>
      </c>
      <c r="D203" s="2" t="s">
        <v>3</v>
      </c>
      <c r="E203" s="3"/>
      <c r="F203" s="34">
        <v>43</v>
      </c>
      <c r="G203" s="39"/>
      <c r="H203" s="3"/>
      <c r="I203" s="32"/>
    </row>
    <row r="204" spans="1:9">
      <c r="A204" s="4" t="s">
        <v>9</v>
      </c>
      <c r="B204" s="7" t="s">
        <v>219</v>
      </c>
      <c r="C204" s="4" t="s">
        <v>689</v>
      </c>
      <c r="D204" s="2" t="s">
        <v>3</v>
      </c>
      <c r="E204" s="3"/>
      <c r="F204" s="34">
        <v>50</v>
      </c>
      <c r="G204" s="39"/>
      <c r="H204" s="3"/>
      <c r="I204" s="32"/>
    </row>
    <row r="205" spans="1:9">
      <c r="A205" s="4" t="s">
        <v>9</v>
      </c>
      <c r="B205" s="7" t="s">
        <v>220</v>
      </c>
      <c r="C205" s="4" t="s">
        <v>690</v>
      </c>
      <c r="D205" s="2" t="s">
        <v>3</v>
      </c>
      <c r="E205" s="3"/>
      <c r="F205" s="34">
        <v>6</v>
      </c>
      <c r="G205" s="39"/>
      <c r="H205" s="3"/>
      <c r="I205" s="32"/>
    </row>
    <row r="206" spans="1:9">
      <c r="A206" s="4" t="s">
        <v>9</v>
      </c>
      <c r="B206" s="7" t="s">
        <v>221</v>
      </c>
      <c r="C206" s="4" t="s">
        <v>691</v>
      </c>
      <c r="D206" s="2" t="s">
        <v>3</v>
      </c>
      <c r="E206" s="3"/>
      <c r="F206" s="34">
        <v>50</v>
      </c>
      <c r="G206" s="39"/>
      <c r="H206" s="3"/>
      <c r="I206" s="32"/>
    </row>
    <row r="207" spans="1:9">
      <c r="A207" s="4" t="s">
        <v>9</v>
      </c>
      <c r="B207" s="7" t="s">
        <v>222</v>
      </c>
      <c r="C207" s="4" t="s">
        <v>692</v>
      </c>
      <c r="D207" s="2" t="s">
        <v>3</v>
      </c>
      <c r="E207" s="3"/>
      <c r="F207" s="34">
        <v>64</v>
      </c>
      <c r="G207" s="39"/>
      <c r="H207" s="3"/>
      <c r="I207" s="32"/>
    </row>
    <row r="208" spans="1:9">
      <c r="A208" s="4" t="s">
        <v>9</v>
      </c>
      <c r="B208" s="7" t="s">
        <v>223</v>
      </c>
      <c r="C208" s="4" t="s">
        <v>693</v>
      </c>
      <c r="D208" s="2" t="s">
        <v>3</v>
      </c>
      <c r="E208" s="3"/>
      <c r="F208" s="34">
        <v>23</v>
      </c>
      <c r="G208" s="39"/>
      <c r="H208" s="3"/>
      <c r="I208" s="32"/>
    </row>
    <row r="209" spans="1:10">
      <c r="A209" s="4" t="s">
        <v>9</v>
      </c>
      <c r="B209" s="7" t="s">
        <v>224</v>
      </c>
      <c r="C209" s="4" t="s">
        <v>245</v>
      </c>
      <c r="D209" s="2" t="s">
        <v>3</v>
      </c>
      <c r="E209" s="3"/>
      <c r="F209" s="34">
        <v>67</v>
      </c>
      <c r="G209" s="39"/>
      <c r="H209" s="3"/>
      <c r="I209" s="32"/>
    </row>
    <row r="210" spans="1:10">
      <c r="A210" s="4" t="s">
        <v>9</v>
      </c>
      <c r="B210" s="7" t="s">
        <v>225</v>
      </c>
      <c r="C210" s="4" t="s">
        <v>246</v>
      </c>
      <c r="D210" s="2" t="s">
        <v>3</v>
      </c>
      <c r="E210" s="3"/>
      <c r="F210" s="34">
        <v>50</v>
      </c>
      <c r="G210" s="39"/>
      <c r="H210" s="3"/>
      <c r="I210" s="32"/>
    </row>
    <row r="211" spans="1:10">
      <c r="A211" s="4" t="s">
        <v>9</v>
      </c>
      <c r="B211" s="7" t="s">
        <v>215</v>
      </c>
      <c r="C211" s="4" t="s">
        <v>247</v>
      </c>
      <c r="D211" s="2" t="s">
        <v>3</v>
      </c>
      <c r="E211" s="3"/>
      <c r="F211" s="34">
        <v>50</v>
      </c>
      <c r="G211" s="39"/>
      <c r="H211" s="3"/>
      <c r="I211" s="32"/>
    </row>
    <row r="212" spans="1:10">
      <c r="A212" s="4" t="s">
        <v>9</v>
      </c>
      <c r="B212" s="7" t="s">
        <v>226</v>
      </c>
      <c r="C212" s="4" t="s">
        <v>694</v>
      </c>
      <c r="D212" s="2" t="s">
        <v>3</v>
      </c>
      <c r="E212" s="3"/>
      <c r="F212" s="34">
        <v>15</v>
      </c>
      <c r="G212" s="39">
        <v>50</v>
      </c>
      <c r="H212" s="3"/>
      <c r="I212" s="32"/>
    </row>
    <row r="213" spans="1:10">
      <c r="A213" s="4" t="s">
        <v>9</v>
      </c>
      <c r="B213" s="7" t="s">
        <v>227</v>
      </c>
      <c r="C213" s="4" t="s">
        <v>751</v>
      </c>
      <c r="D213" s="2" t="s">
        <v>3</v>
      </c>
      <c r="E213" s="3"/>
      <c r="F213" s="34">
        <v>19</v>
      </c>
      <c r="G213" s="39"/>
      <c r="H213" s="3"/>
      <c r="I213" s="32"/>
    </row>
    <row r="214" spans="1:10">
      <c r="A214" s="4" t="s">
        <v>9</v>
      </c>
      <c r="B214" s="7" t="s">
        <v>228</v>
      </c>
      <c r="C214" s="4" t="s">
        <v>232</v>
      </c>
      <c r="D214" s="2" t="s">
        <v>3</v>
      </c>
      <c r="E214" s="3"/>
      <c r="F214" s="34">
        <v>30</v>
      </c>
      <c r="G214" s="39"/>
      <c r="H214" s="3"/>
      <c r="I214" s="32"/>
    </row>
    <row r="215" spans="1:10" ht="22.1" customHeight="1">
      <c r="A215" s="46"/>
      <c r="B215" s="47"/>
      <c r="C215" s="46"/>
      <c r="D215" s="47"/>
      <c r="E215" s="48"/>
      <c r="F215" s="103">
        <f>SUM(F184:F214)</f>
        <v>1559</v>
      </c>
      <c r="G215" s="40"/>
      <c r="H215" s="3"/>
      <c r="I215" s="35"/>
    </row>
    <row r="216" spans="1:10">
      <c r="A216" s="4" t="s">
        <v>6</v>
      </c>
      <c r="B216" s="7" t="s">
        <v>248</v>
      </c>
      <c r="C216" s="4" t="s">
        <v>695</v>
      </c>
      <c r="D216" s="2" t="s">
        <v>864</v>
      </c>
      <c r="E216" s="3"/>
      <c r="F216" s="34">
        <v>60000</v>
      </c>
      <c r="G216" s="42">
        <v>20</v>
      </c>
      <c r="H216" s="3"/>
      <c r="I216" s="43"/>
      <c r="J216" s="45"/>
    </row>
    <row r="217" spans="1:10">
      <c r="A217" s="4" t="s">
        <v>6</v>
      </c>
      <c r="B217" s="7" t="s">
        <v>249</v>
      </c>
      <c r="C217" s="4" t="s">
        <v>752</v>
      </c>
      <c r="D217" s="2" t="s">
        <v>864</v>
      </c>
      <c r="E217" s="3"/>
      <c r="F217" s="34">
        <v>35000</v>
      </c>
      <c r="G217" s="42">
        <v>5</v>
      </c>
      <c r="H217" s="3"/>
      <c r="I217" s="43"/>
      <c r="J217" s="45"/>
    </row>
    <row r="218" spans="1:10">
      <c r="A218" s="4" t="s">
        <v>6</v>
      </c>
      <c r="B218" s="7" t="s">
        <v>250</v>
      </c>
      <c r="C218" s="4" t="s">
        <v>696</v>
      </c>
      <c r="D218" s="2" t="s">
        <v>864</v>
      </c>
      <c r="E218" s="3"/>
      <c r="F218" s="34">
        <v>5000</v>
      </c>
      <c r="G218" s="42">
        <v>10</v>
      </c>
      <c r="H218" s="3"/>
      <c r="I218" s="43"/>
      <c r="J218" s="45"/>
    </row>
    <row r="219" spans="1:10">
      <c r="A219" s="4" t="s">
        <v>22</v>
      </c>
      <c r="B219" s="7" t="s">
        <v>251</v>
      </c>
      <c r="C219" s="4" t="s">
        <v>697</v>
      </c>
      <c r="D219" s="2" t="s">
        <v>864</v>
      </c>
      <c r="E219" s="3"/>
      <c r="F219" s="34">
        <v>2500</v>
      </c>
      <c r="G219" s="42"/>
      <c r="H219" s="3"/>
      <c r="I219" s="43"/>
      <c r="J219" s="45"/>
    </row>
    <row r="220" spans="1:10">
      <c r="A220" s="4" t="s">
        <v>6</v>
      </c>
      <c r="B220" s="7" t="s">
        <v>252</v>
      </c>
      <c r="C220" s="4" t="s">
        <v>698</v>
      </c>
      <c r="D220" s="2" t="s">
        <v>864</v>
      </c>
      <c r="E220" s="3"/>
      <c r="F220" s="34">
        <v>32500</v>
      </c>
      <c r="G220" s="42"/>
      <c r="H220" s="3"/>
      <c r="I220" s="43"/>
      <c r="J220" s="45"/>
    </row>
    <row r="221" spans="1:10">
      <c r="A221" s="4" t="s">
        <v>6</v>
      </c>
      <c r="B221" s="7" t="s">
        <v>253</v>
      </c>
      <c r="C221" s="4" t="s">
        <v>699</v>
      </c>
      <c r="D221" s="2" t="s">
        <v>864</v>
      </c>
      <c r="E221" s="3"/>
      <c r="F221" s="34">
        <v>32500</v>
      </c>
      <c r="G221" s="42">
        <v>20</v>
      </c>
      <c r="H221" s="3"/>
      <c r="I221" s="43"/>
      <c r="J221" s="45"/>
    </row>
    <row r="222" spans="1:10">
      <c r="A222" s="4" t="s">
        <v>6</v>
      </c>
      <c r="B222" s="7" t="s">
        <v>254</v>
      </c>
      <c r="C222" s="4" t="s">
        <v>700</v>
      </c>
      <c r="D222" s="2" t="s">
        <v>864</v>
      </c>
      <c r="E222" s="3"/>
      <c r="F222" s="34">
        <v>72500</v>
      </c>
      <c r="G222" s="42"/>
      <c r="H222" s="3"/>
      <c r="I222" s="43"/>
      <c r="J222" s="45"/>
    </row>
    <row r="223" spans="1:10">
      <c r="A223" s="4" t="s">
        <v>6</v>
      </c>
      <c r="B223" s="7" t="s">
        <v>255</v>
      </c>
      <c r="C223" s="4" t="s">
        <v>701</v>
      </c>
      <c r="D223" s="2" t="s">
        <v>864</v>
      </c>
      <c r="E223" s="3"/>
      <c r="F223" s="34">
        <v>5000</v>
      </c>
      <c r="G223" s="42">
        <v>10</v>
      </c>
      <c r="H223" s="3"/>
      <c r="I223" s="43"/>
      <c r="J223" s="45"/>
    </row>
    <row r="224" spans="1:10">
      <c r="A224" s="4" t="s">
        <v>6</v>
      </c>
      <c r="B224" s="7" t="s">
        <v>256</v>
      </c>
      <c r="C224" s="4" t="s">
        <v>702</v>
      </c>
      <c r="D224" s="2" t="s">
        <v>864</v>
      </c>
      <c r="E224" s="3"/>
      <c r="F224" s="34">
        <v>22500</v>
      </c>
      <c r="G224" s="42">
        <v>10</v>
      </c>
      <c r="H224" s="3"/>
      <c r="I224" s="43"/>
      <c r="J224" s="45"/>
    </row>
    <row r="225" spans="1:10">
      <c r="A225" s="4" t="s">
        <v>6</v>
      </c>
      <c r="B225" s="7" t="s">
        <v>257</v>
      </c>
      <c r="C225" s="4" t="s">
        <v>703</v>
      </c>
      <c r="D225" s="2" t="s">
        <v>864</v>
      </c>
      <c r="E225" s="3"/>
      <c r="F225" s="34">
        <v>20000</v>
      </c>
      <c r="G225" s="42"/>
      <c r="H225" s="3"/>
      <c r="I225" s="43"/>
      <c r="J225" s="45"/>
    </row>
    <row r="226" spans="1:10">
      <c r="A226" s="4" t="s">
        <v>6</v>
      </c>
      <c r="B226" s="7" t="s">
        <v>258</v>
      </c>
      <c r="C226" s="4" t="s">
        <v>704</v>
      </c>
      <c r="D226" s="2" t="s">
        <v>864</v>
      </c>
      <c r="E226" s="3"/>
      <c r="F226" s="34">
        <v>40000</v>
      </c>
      <c r="G226" s="42">
        <v>40</v>
      </c>
      <c r="H226" s="3"/>
      <c r="I226" s="43"/>
      <c r="J226" s="45"/>
    </row>
    <row r="227" spans="1:10">
      <c r="A227" s="4" t="s">
        <v>6</v>
      </c>
      <c r="B227" s="7" t="s">
        <v>259</v>
      </c>
      <c r="C227" s="4" t="s">
        <v>705</v>
      </c>
      <c r="D227" s="2" t="s">
        <v>864</v>
      </c>
      <c r="E227" s="3"/>
      <c r="F227" s="34">
        <v>2500</v>
      </c>
      <c r="G227" s="42"/>
      <c r="H227" s="3"/>
      <c r="I227" s="43"/>
      <c r="J227" s="45"/>
    </row>
    <row r="228" spans="1:10">
      <c r="A228" s="4" t="s">
        <v>6</v>
      </c>
      <c r="B228" s="7" t="s">
        <v>260</v>
      </c>
      <c r="C228" s="4" t="s">
        <v>706</v>
      </c>
      <c r="D228" s="2" t="s">
        <v>864</v>
      </c>
      <c r="E228" s="3"/>
      <c r="F228" s="34">
        <v>5000</v>
      </c>
      <c r="G228" s="42"/>
      <c r="H228" s="3"/>
      <c r="I228" s="44"/>
      <c r="J228" s="45"/>
    </row>
    <row r="229" spans="1:10">
      <c r="A229" s="4" t="s">
        <v>6</v>
      </c>
      <c r="B229" s="7" t="s">
        <v>261</v>
      </c>
      <c r="C229" s="4" t="s">
        <v>707</v>
      </c>
      <c r="D229" s="2" t="s">
        <v>864</v>
      </c>
      <c r="E229" s="3"/>
      <c r="F229" s="34">
        <v>17500</v>
      </c>
      <c r="G229" s="42"/>
      <c r="H229" s="3"/>
      <c r="I229" s="44"/>
      <c r="J229" s="45"/>
    </row>
    <row r="230" spans="1:10">
      <c r="A230" s="4" t="s">
        <v>6</v>
      </c>
      <c r="B230" s="7" t="s">
        <v>262</v>
      </c>
      <c r="C230" s="4" t="s">
        <v>708</v>
      </c>
      <c r="D230" s="2" t="s">
        <v>864</v>
      </c>
      <c r="E230" s="3"/>
      <c r="F230" s="34">
        <v>2500</v>
      </c>
      <c r="G230" s="42"/>
      <c r="H230" s="3"/>
      <c r="I230" s="44"/>
      <c r="J230" s="45"/>
    </row>
    <row r="231" spans="1:10">
      <c r="A231" s="4" t="s">
        <v>6</v>
      </c>
      <c r="B231" s="7" t="s">
        <v>263</v>
      </c>
      <c r="C231" s="4" t="s">
        <v>709</v>
      </c>
      <c r="D231" s="2" t="s">
        <v>864</v>
      </c>
      <c r="E231" s="3"/>
      <c r="F231" s="34">
        <v>7500</v>
      </c>
      <c r="G231" s="42"/>
      <c r="H231" s="3"/>
      <c r="I231" s="43"/>
      <c r="J231" s="45"/>
    </row>
    <row r="232" spans="1:10">
      <c r="A232" s="4" t="s">
        <v>6</v>
      </c>
      <c r="B232" s="7" t="s">
        <v>264</v>
      </c>
      <c r="C232" s="4" t="s">
        <v>710</v>
      </c>
      <c r="D232" s="2" t="s">
        <v>864</v>
      </c>
      <c r="E232" s="3"/>
      <c r="F232" s="34">
        <v>7500</v>
      </c>
      <c r="G232" s="42"/>
      <c r="H232" s="3"/>
      <c r="I232" s="43"/>
      <c r="J232" s="45"/>
    </row>
    <row r="233" spans="1:10">
      <c r="A233" s="4" t="s">
        <v>6</v>
      </c>
      <c r="B233" s="7" t="s">
        <v>265</v>
      </c>
      <c r="C233" s="4" t="s">
        <v>711</v>
      </c>
      <c r="D233" s="2" t="s">
        <v>864</v>
      </c>
      <c r="E233" s="3"/>
      <c r="F233" s="34">
        <v>5000</v>
      </c>
      <c r="G233" s="42"/>
      <c r="H233" s="3"/>
      <c r="I233" s="43"/>
      <c r="J233" s="45"/>
    </row>
    <row r="234" spans="1:10">
      <c r="A234" s="4" t="s">
        <v>6</v>
      </c>
      <c r="B234" s="7" t="s">
        <v>266</v>
      </c>
      <c r="C234" s="4" t="s">
        <v>712</v>
      </c>
      <c r="D234" s="2" t="s">
        <v>864</v>
      </c>
      <c r="E234" s="3"/>
      <c r="F234" s="34">
        <v>5000</v>
      </c>
      <c r="G234" s="42"/>
      <c r="H234" s="3"/>
      <c r="I234" s="43"/>
      <c r="J234" s="45"/>
    </row>
    <row r="235" spans="1:10">
      <c r="A235" s="4" t="s">
        <v>6</v>
      </c>
      <c r="B235" s="7" t="s">
        <v>267</v>
      </c>
      <c r="C235" s="4" t="s">
        <v>713</v>
      </c>
      <c r="D235" s="2" t="s">
        <v>864</v>
      </c>
      <c r="E235" s="3"/>
      <c r="F235" s="34">
        <v>5000</v>
      </c>
      <c r="G235" s="42"/>
      <c r="H235" s="3"/>
      <c r="I235" s="43"/>
      <c r="J235" s="45"/>
    </row>
    <row r="236" spans="1:10">
      <c r="A236" s="4" t="s">
        <v>6</v>
      </c>
      <c r="B236" s="7" t="s">
        <v>268</v>
      </c>
      <c r="C236" s="4" t="s">
        <v>714</v>
      </c>
      <c r="D236" s="2" t="s">
        <v>864</v>
      </c>
      <c r="E236" s="3"/>
      <c r="F236" s="34">
        <v>5000</v>
      </c>
      <c r="G236" s="42"/>
      <c r="H236" s="3"/>
      <c r="I236" s="43"/>
      <c r="J236" s="45"/>
    </row>
    <row r="237" spans="1:10">
      <c r="A237" s="4" t="s">
        <v>6</v>
      </c>
      <c r="B237" s="7" t="s">
        <v>269</v>
      </c>
      <c r="C237" s="4" t="s">
        <v>715</v>
      </c>
      <c r="D237" s="2" t="s">
        <v>864</v>
      </c>
      <c r="E237" s="3"/>
      <c r="F237" s="34">
        <v>7500</v>
      </c>
      <c r="G237" s="42"/>
      <c r="H237" s="3"/>
      <c r="I237" s="43"/>
      <c r="J237" s="45"/>
    </row>
    <row r="238" spans="1:10">
      <c r="A238" s="4" t="s">
        <v>6</v>
      </c>
      <c r="B238" s="7" t="s">
        <v>270</v>
      </c>
      <c r="C238" s="4" t="s">
        <v>716</v>
      </c>
      <c r="D238" s="2" t="s">
        <v>864</v>
      </c>
      <c r="E238" s="3"/>
      <c r="F238" s="34">
        <v>2500</v>
      </c>
      <c r="G238" s="42"/>
      <c r="H238" s="3"/>
      <c r="I238" s="43"/>
      <c r="J238" s="45"/>
    </row>
    <row r="239" spans="1:10">
      <c r="A239" s="4" t="s">
        <v>6</v>
      </c>
      <c r="B239" s="7" t="s">
        <v>271</v>
      </c>
      <c r="C239" s="4" t="s">
        <v>717</v>
      </c>
      <c r="D239" s="2" t="s">
        <v>864</v>
      </c>
      <c r="E239" s="3"/>
      <c r="F239" s="34">
        <v>7500</v>
      </c>
      <c r="G239" s="42"/>
      <c r="H239" s="3"/>
      <c r="I239" s="43"/>
      <c r="J239" s="45"/>
    </row>
    <row r="240" spans="1:10">
      <c r="A240" s="4" t="s">
        <v>6</v>
      </c>
      <c r="B240" s="7" t="s">
        <v>272</v>
      </c>
      <c r="C240" s="4" t="s">
        <v>718</v>
      </c>
      <c r="D240" s="2" t="s">
        <v>864</v>
      </c>
      <c r="E240" s="3"/>
      <c r="F240" s="34">
        <v>2500</v>
      </c>
      <c r="G240" s="42"/>
      <c r="H240" s="3"/>
      <c r="I240" s="43"/>
      <c r="J240" s="45"/>
    </row>
    <row r="241" spans="1:10">
      <c r="A241" s="4" t="s">
        <v>6</v>
      </c>
      <c r="B241" s="7" t="s">
        <v>273</v>
      </c>
      <c r="C241" s="4" t="s">
        <v>719</v>
      </c>
      <c r="D241" s="2" t="s">
        <v>864</v>
      </c>
      <c r="E241" s="3"/>
      <c r="F241" s="34">
        <v>5000</v>
      </c>
      <c r="G241" s="42"/>
      <c r="H241" s="3"/>
      <c r="I241" s="43"/>
      <c r="J241" s="45"/>
    </row>
    <row r="242" spans="1:10">
      <c r="A242" s="4" t="s">
        <v>6</v>
      </c>
      <c r="B242" s="7" t="s">
        <v>274</v>
      </c>
      <c r="C242" s="4" t="s">
        <v>720</v>
      </c>
      <c r="D242" s="2" t="s">
        <v>864</v>
      </c>
      <c r="E242" s="3"/>
      <c r="F242" s="34">
        <v>2500</v>
      </c>
      <c r="G242" s="42"/>
      <c r="H242" s="3"/>
      <c r="I242" s="43"/>
      <c r="J242" s="45"/>
    </row>
    <row r="243" spans="1:10">
      <c r="A243" s="4" t="s">
        <v>6</v>
      </c>
      <c r="B243" s="7" t="s">
        <v>275</v>
      </c>
      <c r="C243" s="4" t="s">
        <v>721</v>
      </c>
      <c r="D243" s="2" t="s">
        <v>864</v>
      </c>
      <c r="E243" s="3"/>
      <c r="F243" s="34">
        <v>7500</v>
      </c>
      <c r="G243" s="42"/>
      <c r="H243" s="3"/>
      <c r="I243" s="43"/>
      <c r="J243" s="45"/>
    </row>
    <row r="244" spans="1:10">
      <c r="A244" s="4" t="s">
        <v>6</v>
      </c>
      <c r="B244" s="7" t="s">
        <v>276</v>
      </c>
      <c r="C244" s="4" t="s">
        <v>722</v>
      </c>
      <c r="D244" s="2" t="s">
        <v>864</v>
      </c>
      <c r="E244" s="3"/>
      <c r="F244" s="34">
        <v>5000</v>
      </c>
      <c r="G244" s="42"/>
      <c r="H244" s="3"/>
      <c r="I244" s="43"/>
      <c r="J244" s="45"/>
    </row>
    <row r="245" spans="1:10">
      <c r="A245" s="4" t="s">
        <v>6</v>
      </c>
      <c r="B245" s="7" t="s">
        <v>277</v>
      </c>
      <c r="C245" s="4" t="s">
        <v>723</v>
      </c>
      <c r="D245" s="2" t="s">
        <v>864</v>
      </c>
      <c r="E245" s="3"/>
      <c r="F245" s="34">
        <v>2500</v>
      </c>
      <c r="G245" s="42"/>
      <c r="H245" s="3"/>
      <c r="I245" s="43"/>
      <c r="J245" s="45"/>
    </row>
    <row r="246" spans="1:10" ht="28.8" customHeight="1">
      <c r="A246" s="46"/>
      <c r="B246" s="47"/>
      <c r="C246" s="46"/>
      <c r="D246" s="47"/>
      <c r="E246" s="48"/>
      <c r="F246" s="103">
        <f>SUM(F216:F245)</f>
        <v>432500</v>
      </c>
      <c r="G246" s="40"/>
      <c r="H246" s="3"/>
      <c r="I246" s="35"/>
      <c r="J246" s="45"/>
    </row>
    <row r="247" spans="1:10">
      <c r="A247" s="4" t="s">
        <v>8</v>
      </c>
      <c r="B247" s="7" t="s">
        <v>52</v>
      </c>
      <c r="C247" s="4" t="s">
        <v>141</v>
      </c>
      <c r="D247" s="2" t="s">
        <v>4</v>
      </c>
      <c r="E247" s="3"/>
      <c r="F247" s="34">
        <v>4606</v>
      </c>
      <c r="G247" s="39"/>
      <c r="H247" s="3"/>
      <c r="I247" s="32"/>
    </row>
    <row r="248" spans="1:10">
      <c r="A248" s="4" t="s">
        <v>8</v>
      </c>
      <c r="B248" s="7" t="s">
        <v>53</v>
      </c>
      <c r="C248" s="4" t="s">
        <v>724</v>
      </c>
      <c r="D248" s="2" t="s">
        <v>4</v>
      </c>
      <c r="E248" s="3"/>
      <c r="F248" s="34">
        <v>1728</v>
      </c>
      <c r="G248" s="39">
        <v>1728</v>
      </c>
      <c r="H248" s="3"/>
      <c r="I248" s="32"/>
    </row>
    <row r="249" spans="1:10">
      <c r="A249" s="4" t="s">
        <v>8</v>
      </c>
      <c r="B249" s="7" t="s">
        <v>54</v>
      </c>
      <c r="C249" s="4" t="s">
        <v>725</v>
      </c>
      <c r="D249" s="2" t="s">
        <v>4</v>
      </c>
      <c r="E249" s="3"/>
      <c r="F249" s="34">
        <v>864</v>
      </c>
      <c r="G249" s="39">
        <v>864</v>
      </c>
      <c r="H249" s="3"/>
      <c r="I249" s="32"/>
    </row>
    <row r="250" spans="1:10">
      <c r="A250" s="4" t="s">
        <v>8</v>
      </c>
      <c r="B250" s="7" t="s">
        <v>55</v>
      </c>
      <c r="C250" s="4" t="s">
        <v>726</v>
      </c>
      <c r="D250" s="2" t="s">
        <v>4</v>
      </c>
      <c r="E250" s="3"/>
      <c r="F250" s="34">
        <v>500</v>
      </c>
      <c r="G250" s="39"/>
      <c r="H250" s="3"/>
      <c r="I250" s="32"/>
    </row>
    <row r="251" spans="1:10">
      <c r="A251" s="4" t="s">
        <v>8</v>
      </c>
      <c r="B251" s="7" t="s">
        <v>56</v>
      </c>
      <c r="C251" s="4" t="s">
        <v>727</v>
      </c>
      <c r="D251" s="2" t="s">
        <v>4</v>
      </c>
      <c r="E251" s="3"/>
      <c r="F251" s="34">
        <v>3955</v>
      </c>
      <c r="G251" s="39"/>
      <c r="H251" s="3"/>
      <c r="I251" s="32"/>
    </row>
    <row r="252" spans="1:10">
      <c r="A252" s="4" t="s">
        <v>8</v>
      </c>
      <c r="B252" s="7" t="s">
        <v>57</v>
      </c>
      <c r="C252" s="4" t="s">
        <v>728</v>
      </c>
      <c r="D252" s="2" t="s">
        <v>4</v>
      </c>
      <c r="E252" s="3"/>
      <c r="F252" s="34">
        <v>2804</v>
      </c>
      <c r="G252" s="39"/>
      <c r="H252" s="3"/>
      <c r="I252" s="32"/>
    </row>
    <row r="253" spans="1:10">
      <c r="A253" s="4" t="s">
        <v>8</v>
      </c>
      <c r="B253" s="7" t="s">
        <v>58</v>
      </c>
      <c r="C253" s="4" t="s">
        <v>142</v>
      </c>
      <c r="D253" s="2" t="s">
        <v>4</v>
      </c>
      <c r="E253" s="3"/>
      <c r="F253" s="34">
        <v>1728</v>
      </c>
      <c r="G253" s="39"/>
      <c r="H253" s="3"/>
      <c r="I253" s="32"/>
    </row>
    <row r="254" spans="1:10">
      <c r="A254" s="4" t="s">
        <v>8</v>
      </c>
      <c r="B254" s="7" t="s">
        <v>59</v>
      </c>
      <c r="C254" s="4" t="s">
        <v>143</v>
      </c>
      <c r="D254" s="2" t="s">
        <v>4</v>
      </c>
      <c r="E254" s="3"/>
      <c r="F254" s="34">
        <v>1000</v>
      </c>
      <c r="G254" s="39"/>
      <c r="H254" s="3"/>
      <c r="I254" s="32"/>
    </row>
    <row r="255" spans="1:10">
      <c r="A255" s="4" t="s">
        <v>8</v>
      </c>
      <c r="B255" s="7" t="s">
        <v>60</v>
      </c>
      <c r="C255" s="4" t="s">
        <v>144</v>
      </c>
      <c r="D255" s="2" t="s">
        <v>4</v>
      </c>
      <c r="E255" s="3"/>
      <c r="F255" s="34">
        <v>5000</v>
      </c>
      <c r="G255" s="39"/>
      <c r="H255" s="3"/>
      <c r="I255" s="32"/>
    </row>
    <row r="256" spans="1:10">
      <c r="A256" s="4" t="s">
        <v>8</v>
      </c>
      <c r="B256" s="7" t="s">
        <v>61</v>
      </c>
      <c r="C256" s="4" t="s">
        <v>145</v>
      </c>
      <c r="D256" s="2" t="s">
        <v>4</v>
      </c>
      <c r="E256" s="3"/>
      <c r="F256" s="34">
        <v>1728</v>
      </c>
      <c r="G256" s="39"/>
      <c r="H256" s="3"/>
      <c r="I256" s="32"/>
    </row>
    <row r="257" spans="1:9">
      <c r="A257" s="4" t="s">
        <v>47</v>
      </c>
      <c r="B257" s="7" t="s">
        <v>62</v>
      </c>
      <c r="C257" s="4" t="s">
        <v>729</v>
      </c>
      <c r="D257" s="2" t="s">
        <v>4</v>
      </c>
      <c r="E257" s="3"/>
      <c r="F257" s="34">
        <v>730</v>
      </c>
      <c r="G257" s="39">
        <f>0+3670</f>
        <v>3670</v>
      </c>
      <c r="H257" s="3"/>
      <c r="I257" s="32"/>
    </row>
    <row r="258" spans="1:9">
      <c r="A258" s="4" t="s">
        <v>47</v>
      </c>
      <c r="B258" s="7" t="s">
        <v>63</v>
      </c>
      <c r="C258" s="4" t="s">
        <v>730</v>
      </c>
      <c r="D258" s="2" t="s">
        <v>4</v>
      </c>
      <c r="E258" s="3"/>
      <c r="F258" s="34">
        <v>1270</v>
      </c>
      <c r="G258" s="39">
        <f>0+2000</f>
        <v>2000</v>
      </c>
      <c r="H258" s="3"/>
      <c r="I258" s="32"/>
    </row>
    <row r="259" spans="1:9">
      <c r="A259" s="4" t="s">
        <v>8</v>
      </c>
      <c r="B259" s="7" t="s">
        <v>64</v>
      </c>
      <c r="C259" s="4" t="s">
        <v>731</v>
      </c>
      <c r="D259" s="2" t="s">
        <v>4</v>
      </c>
      <c r="E259" s="3"/>
      <c r="F259" s="34">
        <v>1740</v>
      </c>
      <c r="G259" s="39"/>
      <c r="H259" s="3"/>
      <c r="I259" s="32"/>
    </row>
    <row r="260" spans="1:9">
      <c r="A260" s="4" t="s">
        <v>8</v>
      </c>
      <c r="B260" s="7" t="s">
        <v>65</v>
      </c>
      <c r="C260" s="4" t="s">
        <v>732</v>
      </c>
      <c r="D260" s="2" t="s">
        <v>4</v>
      </c>
      <c r="E260" s="3"/>
      <c r="F260" s="34">
        <v>2100</v>
      </c>
      <c r="G260" s="39"/>
      <c r="H260" s="3"/>
      <c r="I260" s="32"/>
    </row>
    <row r="261" spans="1:9">
      <c r="A261" s="4" t="s">
        <v>8</v>
      </c>
      <c r="B261" s="7" t="s">
        <v>66</v>
      </c>
      <c r="C261" s="4" t="s">
        <v>733</v>
      </c>
      <c r="D261" s="2" t="s">
        <v>4</v>
      </c>
      <c r="E261" s="3"/>
      <c r="F261" s="34">
        <v>4250</v>
      </c>
      <c r="G261" s="39"/>
      <c r="H261" s="3"/>
      <c r="I261" s="32"/>
    </row>
    <row r="262" spans="1:9">
      <c r="A262" s="4" t="s">
        <v>8</v>
      </c>
      <c r="B262" s="7" t="s">
        <v>67</v>
      </c>
      <c r="C262" s="4" t="s">
        <v>734</v>
      </c>
      <c r="D262" s="2" t="s">
        <v>4</v>
      </c>
      <c r="E262" s="3"/>
      <c r="F262" s="34">
        <v>1818</v>
      </c>
      <c r="G262" s="39"/>
      <c r="H262" s="3"/>
      <c r="I262" s="32"/>
    </row>
    <row r="263" spans="1:9">
      <c r="A263" s="4" t="s">
        <v>8</v>
      </c>
      <c r="B263" s="7" t="s">
        <v>68</v>
      </c>
      <c r="C263" s="4" t="s">
        <v>146</v>
      </c>
      <c r="D263" s="2" t="s">
        <v>4</v>
      </c>
      <c r="E263" s="3"/>
      <c r="F263" s="34">
        <v>375</v>
      </c>
      <c r="G263" s="39"/>
      <c r="H263" s="3"/>
      <c r="I263" s="32"/>
    </row>
    <row r="264" spans="1:9">
      <c r="A264" s="4" t="s">
        <v>8</v>
      </c>
      <c r="B264" s="7" t="s">
        <v>69</v>
      </c>
      <c r="C264" s="4" t="s">
        <v>147</v>
      </c>
      <c r="D264" s="2" t="s">
        <v>4</v>
      </c>
      <c r="E264" s="3"/>
      <c r="F264" s="34">
        <v>680</v>
      </c>
      <c r="G264" s="39"/>
      <c r="H264" s="3"/>
      <c r="I264" s="32"/>
    </row>
    <row r="265" spans="1:9">
      <c r="A265" s="4" t="s">
        <v>8</v>
      </c>
      <c r="B265" s="7" t="s">
        <v>70</v>
      </c>
      <c r="C265" s="4" t="s">
        <v>148</v>
      </c>
      <c r="D265" s="2" t="s">
        <v>4</v>
      </c>
      <c r="E265" s="3"/>
      <c r="F265" s="34">
        <v>376</v>
      </c>
      <c r="G265" s="39"/>
      <c r="H265" s="3"/>
      <c r="I265" s="32"/>
    </row>
    <row r="266" spans="1:9">
      <c r="A266" s="4" t="s">
        <v>8</v>
      </c>
      <c r="B266" s="7" t="s">
        <v>71</v>
      </c>
      <c r="C266" s="4" t="s">
        <v>149</v>
      </c>
      <c r="D266" s="2" t="s">
        <v>4</v>
      </c>
      <c r="E266" s="3"/>
      <c r="F266" s="34">
        <v>514</v>
      </c>
      <c r="G266" s="39"/>
      <c r="H266" s="3"/>
      <c r="I266" s="32"/>
    </row>
    <row r="267" spans="1:9">
      <c r="A267" s="4" t="s">
        <v>8</v>
      </c>
      <c r="B267" s="7" t="s">
        <v>72</v>
      </c>
      <c r="C267" s="4" t="s">
        <v>735</v>
      </c>
      <c r="D267" s="2" t="s">
        <v>4</v>
      </c>
      <c r="E267" s="3"/>
      <c r="F267" s="34">
        <v>1700</v>
      </c>
      <c r="G267" s="39">
        <v>1728</v>
      </c>
      <c r="H267" s="3"/>
      <c r="I267" s="32"/>
    </row>
    <row r="268" spans="1:9">
      <c r="A268" s="4" t="s">
        <v>8</v>
      </c>
      <c r="B268" s="7" t="s">
        <v>73</v>
      </c>
      <c r="C268" s="4" t="s">
        <v>736</v>
      </c>
      <c r="D268" s="2" t="s">
        <v>4</v>
      </c>
      <c r="E268" s="3"/>
      <c r="F268" s="34">
        <v>300</v>
      </c>
      <c r="G268" s="39">
        <v>864</v>
      </c>
      <c r="H268" s="3"/>
      <c r="I268" s="32"/>
    </row>
    <row r="269" spans="1:9">
      <c r="A269" s="4" t="s">
        <v>8</v>
      </c>
      <c r="B269" s="7" t="s">
        <v>74</v>
      </c>
      <c r="C269" s="4" t="s">
        <v>150</v>
      </c>
      <c r="D269" s="2" t="s">
        <v>4</v>
      </c>
      <c r="E269" s="3"/>
      <c r="F269" s="34">
        <v>5899</v>
      </c>
      <c r="G269" s="39">
        <f>1728*3</f>
        <v>5184</v>
      </c>
      <c r="H269" s="3"/>
      <c r="I269" s="32"/>
    </row>
    <row r="270" spans="1:9">
      <c r="A270" s="4" t="s">
        <v>8</v>
      </c>
      <c r="B270" s="7" t="s">
        <v>75</v>
      </c>
      <c r="C270" s="4" t="s">
        <v>151</v>
      </c>
      <c r="D270" s="2" t="s">
        <v>4</v>
      </c>
      <c r="E270" s="3"/>
      <c r="F270" s="34">
        <v>3220</v>
      </c>
      <c r="G270" s="39">
        <v>1728</v>
      </c>
      <c r="H270" s="3"/>
      <c r="I270" s="32"/>
    </row>
    <row r="271" spans="1:9">
      <c r="A271" s="4" t="s">
        <v>8</v>
      </c>
      <c r="B271" s="7" t="s">
        <v>76</v>
      </c>
      <c r="C271" s="4" t="s">
        <v>737</v>
      </c>
      <c r="D271" s="2" t="s">
        <v>4</v>
      </c>
      <c r="E271" s="3"/>
      <c r="F271" s="34">
        <v>900</v>
      </c>
      <c r="G271" s="39"/>
      <c r="H271" s="3"/>
      <c r="I271" s="32"/>
    </row>
    <row r="272" spans="1:9">
      <c r="A272" s="4" t="s">
        <v>8</v>
      </c>
      <c r="B272" s="7" t="s">
        <v>77</v>
      </c>
      <c r="C272" s="4" t="s">
        <v>738</v>
      </c>
      <c r="D272" s="2" t="s">
        <v>4</v>
      </c>
      <c r="E272" s="3"/>
      <c r="F272" s="34">
        <v>1160</v>
      </c>
      <c r="G272" s="39"/>
      <c r="H272" s="3"/>
      <c r="I272" s="32"/>
    </row>
    <row r="273" spans="1:9">
      <c r="A273" s="4" t="s">
        <v>8</v>
      </c>
      <c r="B273" s="7" t="s">
        <v>78</v>
      </c>
      <c r="C273" s="4" t="s">
        <v>152</v>
      </c>
      <c r="D273" s="2" t="s">
        <v>4</v>
      </c>
      <c r="E273" s="3"/>
      <c r="F273" s="34">
        <v>3850</v>
      </c>
      <c r="G273" s="39"/>
      <c r="H273" s="3"/>
      <c r="I273" s="32"/>
    </row>
    <row r="274" spans="1:9">
      <c r="A274" s="4" t="s">
        <v>8</v>
      </c>
      <c r="B274" s="7" t="s">
        <v>79</v>
      </c>
      <c r="C274" s="4" t="s">
        <v>153</v>
      </c>
      <c r="D274" s="2" t="s">
        <v>4</v>
      </c>
      <c r="E274" s="3"/>
      <c r="F274" s="34">
        <v>1030</v>
      </c>
      <c r="G274" s="39"/>
      <c r="H274" s="3"/>
      <c r="I274" s="32"/>
    </row>
    <row r="275" spans="1:9">
      <c r="A275" s="4" t="s">
        <v>47</v>
      </c>
      <c r="B275" s="7" t="s">
        <v>80</v>
      </c>
      <c r="C275" s="4" t="s">
        <v>739</v>
      </c>
      <c r="D275" s="2" t="s">
        <v>4</v>
      </c>
      <c r="E275" s="3"/>
      <c r="F275" s="34">
        <v>8880</v>
      </c>
      <c r="G275" s="39">
        <f>0+5000+3000</f>
        <v>8000</v>
      </c>
      <c r="H275" s="3"/>
      <c r="I275" s="32"/>
    </row>
    <row r="276" spans="1:9">
      <c r="A276" s="4" t="s">
        <v>47</v>
      </c>
      <c r="B276" s="7" t="s">
        <v>81</v>
      </c>
      <c r="C276" s="4" t="s">
        <v>740</v>
      </c>
      <c r="D276" s="2" t="s">
        <v>4</v>
      </c>
      <c r="E276" s="3"/>
      <c r="F276" s="34">
        <v>2300</v>
      </c>
      <c r="G276" s="39">
        <f>0+1000+1000</f>
        <v>2000</v>
      </c>
      <c r="H276" s="3"/>
      <c r="I276" s="32"/>
    </row>
    <row r="277" spans="1:9">
      <c r="A277" s="4" t="s">
        <v>8</v>
      </c>
      <c r="B277" s="7" t="s">
        <v>82</v>
      </c>
      <c r="C277" s="4" t="s">
        <v>154</v>
      </c>
      <c r="D277" s="2" t="s">
        <v>4</v>
      </c>
      <c r="E277" s="3"/>
      <c r="F277" s="34">
        <v>1300</v>
      </c>
      <c r="G277" s="39"/>
      <c r="H277" s="3"/>
      <c r="I277" s="32"/>
    </row>
    <row r="278" spans="1:9">
      <c r="A278" s="4" t="s">
        <v>8</v>
      </c>
      <c r="B278" s="7" t="s">
        <v>83</v>
      </c>
      <c r="C278" s="4" t="s">
        <v>154</v>
      </c>
      <c r="D278" s="2" t="s">
        <v>4</v>
      </c>
      <c r="E278" s="3"/>
      <c r="F278" s="34">
        <v>1170</v>
      </c>
      <c r="G278" s="39"/>
      <c r="H278" s="3"/>
      <c r="I278" s="32"/>
    </row>
    <row r="279" spans="1:9">
      <c r="A279" s="4" t="s">
        <v>8</v>
      </c>
      <c r="B279" s="7" t="s">
        <v>84</v>
      </c>
      <c r="C279" s="4" t="s">
        <v>155</v>
      </c>
      <c r="D279" s="2" t="s">
        <v>4</v>
      </c>
      <c r="E279" s="3"/>
      <c r="F279" s="34">
        <v>2728</v>
      </c>
      <c r="G279" s="39"/>
      <c r="H279" s="3"/>
      <c r="I279" s="32"/>
    </row>
    <row r="280" spans="1:9">
      <c r="A280" s="4" t="s">
        <v>8</v>
      </c>
      <c r="B280" s="7" t="s">
        <v>85</v>
      </c>
      <c r="C280" s="4" t="s">
        <v>741</v>
      </c>
      <c r="D280" s="2" t="s">
        <v>4</v>
      </c>
      <c r="E280" s="3"/>
      <c r="F280" s="34">
        <v>1200</v>
      </c>
      <c r="G280" s="39">
        <v>1728</v>
      </c>
      <c r="H280" s="3"/>
      <c r="I280" s="32"/>
    </row>
    <row r="281" spans="1:9">
      <c r="A281" s="4" t="s">
        <v>8</v>
      </c>
      <c r="B281" s="7" t="s">
        <v>86</v>
      </c>
      <c r="C281" s="4" t="s">
        <v>742</v>
      </c>
      <c r="D281" s="2" t="s">
        <v>4</v>
      </c>
      <c r="E281" s="3"/>
      <c r="F281" s="34">
        <v>803</v>
      </c>
      <c r="G281" s="39"/>
      <c r="H281" s="3"/>
      <c r="I281" s="32"/>
    </row>
    <row r="282" spans="1:9">
      <c r="A282" s="4" t="s">
        <v>8</v>
      </c>
      <c r="B282" s="7" t="s">
        <v>87</v>
      </c>
      <c r="C282" s="4" t="s">
        <v>156</v>
      </c>
      <c r="D282" s="2" t="s">
        <v>4</v>
      </c>
      <c r="E282" s="3"/>
      <c r="F282" s="34">
        <v>1400</v>
      </c>
      <c r="G282" s="39"/>
      <c r="H282" s="3"/>
      <c r="I282" s="32"/>
    </row>
    <row r="283" spans="1:9">
      <c r="A283" s="4" t="s">
        <v>8</v>
      </c>
      <c r="B283" s="7" t="s">
        <v>88</v>
      </c>
      <c r="C283" s="4" t="s">
        <v>157</v>
      </c>
      <c r="D283" s="2" t="s">
        <v>4</v>
      </c>
      <c r="E283" s="3"/>
      <c r="F283" s="34">
        <v>1200</v>
      </c>
      <c r="G283" s="39"/>
      <c r="H283" s="3"/>
      <c r="I283" s="32"/>
    </row>
    <row r="284" spans="1:9">
      <c r="A284" s="4" t="s">
        <v>8</v>
      </c>
      <c r="B284" s="7" t="s">
        <v>89</v>
      </c>
      <c r="C284" s="4" t="s">
        <v>158</v>
      </c>
      <c r="D284" s="2" t="s">
        <v>4</v>
      </c>
      <c r="E284" s="3"/>
      <c r="F284" s="34">
        <v>280</v>
      </c>
      <c r="G284" s="39"/>
      <c r="H284" s="3"/>
      <c r="I284" s="32"/>
    </row>
    <row r="285" spans="1:9">
      <c r="A285" s="4" t="s">
        <v>8</v>
      </c>
      <c r="B285" s="7" t="s">
        <v>90</v>
      </c>
      <c r="C285" s="4" t="s">
        <v>159</v>
      </c>
      <c r="D285" s="2" t="s">
        <v>4</v>
      </c>
      <c r="E285" s="3"/>
      <c r="F285" s="34">
        <v>130</v>
      </c>
      <c r="G285" s="39"/>
      <c r="H285" s="3"/>
      <c r="I285" s="32"/>
    </row>
    <row r="286" spans="1:9">
      <c r="A286" s="4" t="s">
        <v>8</v>
      </c>
      <c r="B286" s="7" t="s">
        <v>91</v>
      </c>
      <c r="C286" s="4" t="s">
        <v>160</v>
      </c>
      <c r="D286" s="2" t="s">
        <v>4</v>
      </c>
      <c r="E286" s="3"/>
      <c r="F286" s="34">
        <v>120</v>
      </c>
      <c r="G286" s="39"/>
      <c r="H286" s="3"/>
      <c r="I286" s="32"/>
    </row>
    <row r="287" spans="1:9">
      <c r="A287" s="4" t="s">
        <v>8</v>
      </c>
      <c r="B287" s="7" t="s">
        <v>92</v>
      </c>
      <c r="C287" s="4" t="s">
        <v>161</v>
      </c>
      <c r="D287" s="2" t="s">
        <v>4</v>
      </c>
      <c r="E287" s="3"/>
      <c r="F287" s="34">
        <v>126</v>
      </c>
      <c r="G287" s="39"/>
      <c r="H287" s="3"/>
      <c r="I287" s="32"/>
    </row>
    <row r="288" spans="1:9">
      <c r="A288" s="4" t="s">
        <v>8</v>
      </c>
      <c r="B288" s="7" t="s">
        <v>139</v>
      </c>
      <c r="C288" s="4" t="s">
        <v>743</v>
      </c>
      <c r="D288" s="2" t="s">
        <v>4</v>
      </c>
      <c r="E288" s="3"/>
      <c r="F288" s="34">
        <v>690</v>
      </c>
      <c r="G288" s="39">
        <v>1728</v>
      </c>
      <c r="H288" s="3"/>
      <c r="I288" s="32"/>
    </row>
    <row r="289" spans="1:9">
      <c r="A289" s="4" t="s">
        <v>8</v>
      </c>
      <c r="B289" s="7" t="s">
        <v>140</v>
      </c>
      <c r="C289" s="4" t="s">
        <v>744</v>
      </c>
      <c r="D289" s="2" t="s">
        <v>4</v>
      </c>
      <c r="E289" s="3"/>
      <c r="F289" s="34">
        <v>630</v>
      </c>
      <c r="G289" s="39">
        <v>864</v>
      </c>
      <c r="H289" s="3"/>
      <c r="I289" s="32"/>
    </row>
    <row r="290" spans="1:9">
      <c r="A290" s="4" t="s">
        <v>8</v>
      </c>
      <c r="B290" s="7" t="s">
        <v>805</v>
      </c>
      <c r="C290" s="4" t="s">
        <v>807</v>
      </c>
      <c r="D290" s="2" t="s">
        <v>4</v>
      </c>
      <c r="E290" s="3"/>
      <c r="F290" s="34">
        <v>2000</v>
      </c>
      <c r="G290" s="39"/>
      <c r="H290" s="3"/>
      <c r="I290" s="32"/>
    </row>
    <row r="291" spans="1:9">
      <c r="A291" s="4" t="s">
        <v>8</v>
      </c>
      <c r="B291" s="7" t="s">
        <v>806</v>
      </c>
      <c r="C291" s="4" t="s">
        <v>808</v>
      </c>
      <c r="D291" s="2" t="s">
        <v>4</v>
      </c>
      <c r="E291" s="3"/>
      <c r="F291" s="34">
        <v>2000</v>
      </c>
      <c r="G291" s="39"/>
      <c r="H291" s="3"/>
      <c r="I291" s="32"/>
    </row>
    <row r="292" spans="1:9">
      <c r="A292" s="4" t="s">
        <v>8</v>
      </c>
      <c r="B292" s="7" t="s">
        <v>809</v>
      </c>
      <c r="C292" s="4" t="s">
        <v>816</v>
      </c>
      <c r="D292" s="2" t="s">
        <v>4</v>
      </c>
      <c r="E292" s="3"/>
      <c r="F292" s="34">
        <v>1440</v>
      </c>
      <c r="G292" s="39"/>
      <c r="H292" s="3"/>
      <c r="I292" s="32"/>
    </row>
    <row r="293" spans="1:9">
      <c r="A293" s="4" t="s">
        <v>8</v>
      </c>
      <c r="B293" s="7" t="s">
        <v>810</v>
      </c>
      <c r="C293" s="4" t="s">
        <v>817</v>
      </c>
      <c r="D293" s="2" t="s">
        <v>4</v>
      </c>
      <c r="E293" s="3"/>
      <c r="F293" s="34">
        <v>340</v>
      </c>
      <c r="G293" s="39"/>
      <c r="H293" s="3"/>
      <c r="I293" s="32"/>
    </row>
    <row r="294" spans="1:9">
      <c r="A294" s="4" t="s">
        <v>8</v>
      </c>
      <c r="B294" s="7" t="s">
        <v>811</v>
      </c>
      <c r="C294" s="4" t="s">
        <v>818</v>
      </c>
      <c r="D294" s="2" t="s">
        <v>4</v>
      </c>
      <c r="E294" s="3"/>
      <c r="F294" s="34">
        <v>195</v>
      </c>
      <c r="G294" s="39"/>
      <c r="H294" s="3"/>
      <c r="I294" s="32"/>
    </row>
    <row r="295" spans="1:9">
      <c r="A295" s="4" t="s">
        <v>8</v>
      </c>
      <c r="B295" s="7" t="s">
        <v>812</v>
      </c>
      <c r="C295" s="4" t="s">
        <v>819</v>
      </c>
      <c r="D295" s="2" t="s">
        <v>4</v>
      </c>
      <c r="E295" s="3"/>
      <c r="F295" s="34">
        <v>1200</v>
      </c>
      <c r="G295" s="39"/>
      <c r="H295" s="3"/>
      <c r="I295" s="32"/>
    </row>
    <row r="296" spans="1:9">
      <c r="A296" s="4" t="s">
        <v>8</v>
      </c>
      <c r="B296" s="7" t="s">
        <v>813</v>
      </c>
      <c r="C296" s="4" t="s">
        <v>820</v>
      </c>
      <c r="D296" s="2" t="s">
        <v>4</v>
      </c>
      <c r="E296" s="3"/>
      <c r="F296" s="34">
        <v>1017</v>
      </c>
      <c r="G296" s="39"/>
      <c r="H296" s="3"/>
      <c r="I296" s="32"/>
    </row>
    <row r="297" spans="1:9">
      <c r="A297" s="4" t="s">
        <v>8</v>
      </c>
      <c r="B297" s="7" t="s">
        <v>814</v>
      </c>
      <c r="C297" s="4" t="s">
        <v>821</v>
      </c>
      <c r="D297" s="2" t="s">
        <v>4</v>
      </c>
      <c r="E297" s="3"/>
      <c r="F297" s="34">
        <v>570</v>
      </c>
      <c r="G297" s="39"/>
      <c r="H297" s="3"/>
      <c r="I297" s="32"/>
    </row>
    <row r="298" spans="1:9">
      <c r="A298" s="4" t="s">
        <v>8</v>
      </c>
      <c r="B298" s="7" t="s">
        <v>815</v>
      </c>
      <c r="C298" s="4" t="s">
        <v>822</v>
      </c>
      <c r="D298" s="2" t="s">
        <v>4</v>
      </c>
      <c r="E298" s="3"/>
      <c r="F298" s="34">
        <v>2500</v>
      </c>
      <c r="G298" s="39"/>
      <c r="H298" s="3"/>
      <c r="I298" s="32"/>
    </row>
    <row r="299" spans="1:9">
      <c r="A299" s="4" t="s">
        <v>8</v>
      </c>
      <c r="B299" s="7" t="s">
        <v>823</v>
      </c>
      <c r="C299" s="4" t="s">
        <v>824</v>
      </c>
      <c r="D299" s="2" t="s">
        <v>4</v>
      </c>
      <c r="E299" s="3"/>
      <c r="F299" s="34">
        <v>1000</v>
      </c>
      <c r="G299" s="39"/>
      <c r="H299" s="3"/>
      <c r="I299" s="32"/>
    </row>
    <row r="300" spans="1:9">
      <c r="A300" s="4" t="s">
        <v>8</v>
      </c>
      <c r="B300" s="7" t="s">
        <v>825</v>
      </c>
      <c r="C300" s="4" t="s">
        <v>824</v>
      </c>
      <c r="D300" s="2" t="s">
        <v>4</v>
      </c>
      <c r="E300" s="3"/>
      <c r="F300" s="34">
        <v>475</v>
      </c>
      <c r="G300" s="39"/>
      <c r="H300" s="3"/>
      <c r="I300" s="32"/>
    </row>
    <row r="301" spans="1:9">
      <c r="A301" s="4" t="s">
        <v>8</v>
      </c>
      <c r="B301" s="7" t="s">
        <v>826</v>
      </c>
      <c r="C301" s="4" t="s">
        <v>827</v>
      </c>
      <c r="D301" s="2" t="s">
        <v>4</v>
      </c>
      <c r="E301" s="3"/>
      <c r="F301" s="34">
        <v>1200</v>
      </c>
      <c r="G301" s="39"/>
      <c r="H301" s="3"/>
      <c r="I301" s="32"/>
    </row>
    <row r="302" spans="1:9">
      <c r="A302" s="4" t="s">
        <v>8</v>
      </c>
      <c r="B302" s="7" t="s">
        <v>828</v>
      </c>
      <c r="C302" s="4" t="s">
        <v>821</v>
      </c>
      <c r="D302" s="2" t="s">
        <v>4</v>
      </c>
      <c r="E302" s="3"/>
      <c r="F302" s="34">
        <v>1000</v>
      </c>
      <c r="G302" s="39"/>
      <c r="H302" s="3"/>
      <c r="I302" s="32"/>
    </row>
    <row r="303" spans="1:9">
      <c r="A303" s="4" t="s">
        <v>47</v>
      </c>
      <c r="B303" s="7" t="s">
        <v>829</v>
      </c>
      <c r="C303" s="4" t="s">
        <v>830</v>
      </c>
      <c r="D303" s="2" t="s">
        <v>4</v>
      </c>
      <c r="E303" s="3"/>
      <c r="F303" s="34">
        <v>1800</v>
      </c>
      <c r="G303" s="39"/>
      <c r="H303" s="3"/>
      <c r="I303" s="32"/>
    </row>
    <row r="304" spans="1:9">
      <c r="A304" s="4" t="s">
        <v>47</v>
      </c>
      <c r="B304" s="7" t="s">
        <v>831</v>
      </c>
      <c r="C304" s="4" t="s">
        <v>832</v>
      </c>
      <c r="D304" s="2" t="s">
        <v>4</v>
      </c>
      <c r="E304" s="3"/>
      <c r="F304" s="34">
        <v>1570</v>
      </c>
      <c r="G304" s="39"/>
      <c r="H304" s="3"/>
      <c r="I304" s="32"/>
    </row>
    <row r="305" spans="1:9">
      <c r="A305" s="4" t="s">
        <v>47</v>
      </c>
      <c r="B305" s="7" t="s">
        <v>833</v>
      </c>
      <c r="C305" s="4" t="s">
        <v>834</v>
      </c>
      <c r="D305" s="2" t="s">
        <v>4</v>
      </c>
      <c r="E305" s="3"/>
      <c r="F305" s="34">
        <v>1190</v>
      </c>
      <c r="G305" s="39"/>
      <c r="H305" s="3"/>
      <c r="I305" s="32"/>
    </row>
    <row r="306" spans="1:9">
      <c r="A306" s="4" t="s">
        <v>47</v>
      </c>
      <c r="B306" s="7" t="s">
        <v>835</v>
      </c>
      <c r="C306" s="4" t="s">
        <v>836</v>
      </c>
      <c r="D306" s="2" t="s">
        <v>4</v>
      </c>
      <c r="E306" s="3"/>
      <c r="F306" s="34">
        <v>260</v>
      </c>
      <c r="G306" s="39"/>
      <c r="H306" s="3"/>
      <c r="I306" s="32"/>
    </row>
    <row r="307" spans="1:9">
      <c r="A307" s="4" t="s">
        <v>8</v>
      </c>
      <c r="B307" s="7" t="s">
        <v>845</v>
      </c>
      <c r="C307" s="4" t="s">
        <v>846</v>
      </c>
      <c r="D307" s="2" t="s">
        <v>4</v>
      </c>
      <c r="E307" s="3"/>
      <c r="F307" s="34">
        <v>80</v>
      </c>
      <c r="G307" s="39"/>
      <c r="H307" s="3"/>
      <c r="I307" s="32"/>
    </row>
    <row r="308" spans="1:9">
      <c r="A308" s="4" t="s">
        <v>47</v>
      </c>
      <c r="B308" s="7" t="s">
        <v>837</v>
      </c>
      <c r="C308" s="4" t="s">
        <v>838</v>
      </c>
      <c r="D308" s="2" t="s">
        <v>4</v>
      </c>
      <c r="E308" s="3"/>
      <c r="F308" s="34">
        <v>4477</v>
      </c>
      <c r="G308" s="39"/>
      <c r="H308" s="3"/>
      <c r="I308" s="32"/>
    </row>
    <row r="309" spans="1:9">
      <c r="A309" s="4" t="s">
        <v>47</v>
      </c>
      <c r="B309" s="7" t="s">
        <v>839</v>
      </c>
      <c r="C309" s="4" t="s">
        <v>840</v>
      </c>
      <c r="D309" s="2" t="s">
        <v>4</v>
      </c>
      <c r="E309" s="3"/>
      <c r="F309" s="34">
        <v>675</v>
      </c>
      <c r="G309" s="39"/>
      <c r="H309" s="3"/>
      <c r="I309" s="32"/>
    </row>
    <row r="310" spans="1:9">
      <c r="A310" s="4" t="s">
        <v>47</v>
      </c>
      <c r="B310" s="7" t="s">
        <v>841</v>
      </c>
      <c r="C310" s="4" t="s">
        <v>842</v>
      </c>
      <c r="D310" s="2" t="s">
        <v>4</v>
      </c>
      <c r="E310" s="3"/>
      <c r="F310" s="34">
        <v>4650</v>
      </c>
      <c r="G310" s="39"/>
      <c r="H310" s="3"/>
      <c r="I310" s="32"/>
    </row>
    <row r="311" spans="1:9">
      <c r="A311" s="4" t="s">
        <v>47</v>
      </c>
      <c r="B311" s="7" t="s">
        <v>843</v>
      </c>
      <c r="C311" s="4" t="s">
        <v>844</v>
      </c>
      <c r="D311" s="2" t="s">
        <v>4</v>
      </c>
      <c r="E311" s="3"/>
      <c r="F311" s="34">
        <v>2080</v>
      </c>
      <c r="G311" s="39"/>
      <c r="H311" s="3"/>
      <c r="I311" s="32"/>
    </row>
    <row r="312" spans="1:9" ht="22.1" customHeight="1">
      <c r="A312" s="46"/>
      <c r="B312" s="47"/>
      <c r="C312" s="46"/>
      <c r="D312" s="47"/>
      <c r="E312" s="48"/>
      <c r="F312" s="103">
        <f>SUM(F247:F311)</f>
        <v>110501</v>
      </c>
      <c r="G312" s="40"/>
      <c r="H312" s="3"/>
      <c r="I312" s="35"/>
    </row>
    <row r="313" spans="1:9">
      <c r="A313" s="4" t="s">
        <v>8</v>
      </c>
      <c r="B313" s="7" t="s">
        <v>93</v>
      </c>
      <c r="C313" s="4" t="s">
        <v>162</v>
      </c>
      <c r="D313" s="2" t="s">
        <v>4</v>
      </c>
      <c r="E313" s="3"/>
      <c r="F313" s="34">
        <v>15552</v>
      </c>
      <c r="G313" s="39"/>
      <c r="H313" s="3"/>
      <c r="I313" s="32"/>
    </row>
    <row r="314" spans="1:9">
      <c r="A314" s="4" t="s">
        <v>8</v>
      </c>
      <c r="B314" s="7" t="s">
        <v>94</v>
      </c>
      <c r="C314" s="4" t="s">
        <v>163</v>
      </c>
      <c r="D314" s="2" t="s">
        <v>4</v>
      </c>
      <c r="E314" s="3"/>
      <c r="F314" s="34">
        <v>2300</v>
      </c>
      <c r="G314" s="39"/>
      <c r="H314" s="3"/>
      <c r="I314" s="32"/>
    </row>
    <row r="315" spans="1:9">
      <c r="A315" s="4" t="s">
        <v>8</v>
      </c>
      <c r="B315" s="7" t="s">
        <v>95</v>
      </c>
      <c r="C315" s="4" t="s">
        <v>164</v>
      </c>
      <c r="D315" s="2" t="s">
        <v>4</v>
      </c>
      <c r="E315" s="3"/>
      <c r="F315" s="34">
        <v>6912</v>
      </c>
      <c r="G315" s="39"/>
      <c r="H315" s="3"/>
      <c r="I315" s="32"/>
    </row>
    <row r="316" spans="1:9">
      <c r="A316" s="4" t="s">
        <v>8</v>
      </c>
      <c r="B316" s="7" t="s">
        <v>96</v>
      </c>
      <c r="C316" s="4" t="s">
        <v>165</v>
      </c>
      <c r="D316" s="2" t="s">
        <v>4</v>
      </c>
      <c r="E316" s="3"/>
      <c r="F316" s="34">
        <v>1363</v>
      </c>
      <c r="G316" s="39"/>
      <c r="H316" s="3"/>
      <c r="I316" s="32"/>
    </row>
    <row r="317" spans="1:9">
      <c r="A317" s="4" t="s">
        <v>8</v>
      </c>
      <c r="B317" s="7" t="s">
        <v>97</v>
      </c>
      <c r="C317" s="4" t="s">
        <v>166</v>
      </c>
      <c r="D317" s="2" t="s">
        <v>4</v>
      </c>
      <c r="E317" s="3"/>
      <c r="F317" s="34">
        <v>2828</v>
      </c>
      <c r="G317" s="39"/>
      <c r="H317" s="3"/>
      <c r="I317" s="32"/>
    </row>
    <row r="318" spans="1:9">
      <c r="A318" s="4" t="s">
        <v>8</v>
      </c>
      <c r="B318" s="7" t="s">
        <v>98</v>
      </c>
      <c r="C318" s="4" t="s">
        <v>167</v>
      </c>
      <c r="D318" s="2" t="s">
        <v>4</v>
      </c>
      <c r="E318" s="3"/>
      <c r="F318" s="34">
        <v>470</v>
      </c>
      <c r="G318" s="39"/>
      <c r="H318" s="3"/>
      <c r="I318" s="32"/>
    </row>
    <row r="319" spans="1:9">
      <c r="A319" s="4" t="s">
        <v>8</v>
      </c>
      <c r="B319" s="7" t="s">
        <v>99</v>
      </c>
      <c r="C319" s="4" t="s">
        <v>168</v>
      </c>
      <c r="D319" s="2" t="s">
        <v>4</v>
      </c>
      <c r="E319" s="3"/>
      <c r="F319" s="34">
        <v>1270</v>
      </c>
      <c r="G319" s="39"/>
      <c r="H319" s="3"/>
      <c r="I319" s="32"/>
    </row>
    <row r="320" spans="1:9">
      <c r="A320" s="4" t="s">
        <v>8</v>
      </c>
      <c r="B320" s="7" t="s">
        <v>100</v>
      </c>
      <c r="C320" s="4" t="s">
        <v>169</v>
      </c>
      <c r="D320" s="2" t="s">
        <v>4</v>
      </c>
      <c r="E320" s="3"/>
      <c r="F320" s="34">
        <v>1850</v>
      </c>
      <c r="G320" s="39"/>
      <c r="H320" s="3"/>
      <c r="I320" s="32"/>
    </row>
    <row r="321" spans="1:9">
      <c r="A321" s="4" t="s">
        <v>8</v>
      </c>
      <c r="B321" s="7" t="s">
        <v>101</v>
      </c>
      <c r="C321" s="4" t="s">
        <v>170</v>
      </c>
      <c r="D321" s="2" t="s">
        <v>4</v>
      </c>
      <c r="E321" s="3"/>
      <c r="F321" s="34">
        <v>556</v>
      </c>
      <c r="G321" s="39"/>
      <c r="H321" s="3"/>
      <c r="I321" s="32"/>
    </row>
    <row r="322" spans="1:9">
      <c r="A322" s="4" t="s">
        <v>8</v>
      </c>
      <c r="B322" s="7" t="s">
        <v>102</v>
      </c>
      <c r="C322" s="4" t="s">
        <v>171</v>
      </c>
      <c r="D322" s="2" t="s">
        <v>4</v>
      </c>
      <c r="E322" s="3"/>
      <c r="F322" s="34">
        <v>1112</v>
      </c>
      <c r="G322" s="39"/>
      <c r="H322" s="3"/>
      <c r="I322" s="32"/>
    </row>
    <row r="323" spans="1:9">
      <c r="A323" s="4" t="s">
        <v>8</v>
      </c>
      <c r="B323" s="7" t="s">
        <v>103</v>
      </c>
      <c r="C323" s="4" t="s">
        <v>172</v>
      </c>
      <c r="D323" s="2" t="s">
        <v>4</v>
      </c>
      <c r="E323" s="3"/>
      <c r="F323" s="34">
        <v>515</v>
      </c>
      <c r="G323" s="39"/>
      <c r="H323" s="3"/>
      <c r="I323" s="32"/>
    </row>
    <row r="324" spans="1:9">
      <c r="A324" s="4" t="s">
        <v>8</v>
      </c>
      <c r="B324" s="7" t="s">
        <v>104</v>
      </c>
      <c r="C324" s="4" t="s">
        <v>172</v>
      </c>
      <c r="D324" s="2" t="s">
        <v>4</v>
      </c>
      <c r="E324" s="3"/>
      <c r="F324" s="34">
        <v>400</v>
      </c>
      <c r="G324" s="39"/>
      <c r="H324" s="3"/>
      <c r="I324" s="32"/>
    </row>
    <row r="325" spans="1:9">
      <c r="A325" s="4" t="s">
        <v>8</v>
      </c>
      <c r="B325" s="7" t="s">
        <v>105</v>
      </c>
      <c r="C325" s="4" t="s">
        <v>745</v>
      </c>
      <c r="D325" s="2" t="s">
        <v>4</v>
      </c>
      <c r="E325" s="3"/>
      <c r="F325" s="34">
        <v>1708</v>
      </c>
      <c r="G325" s="39"/>
      <c r="H325" s="3"/>
      <c r="I325" s="32"/>
    </row>
    <row r="326" spans="1:9">
      <c r="A326" s="4" t="s">
        <v>8</v>
      </c>
      <c r="B326" s="7" t="s">
        <v>106</v>
      </c>
      <c r="C326" s="4" t="s">
        <v>746</v>
      </c>
      <c r="D326" s="2" t="s">
        <v>4</v>
      </c>
      <c r="E326" s="3"/>
      <c r="F326" s="34">
        <v>185</v>
      </c>
      <c r="G326" s="39"/>
      <c r="H326" s="3"/>
      <c r="I326" s="32"/>
    </row>
    <row r="327" spans="1:9">
      <c r="A327" s="4" t="s">
        <v>8</v>
      </c>
      <c r="B327" s="7" t="s">
        <v>107</v>
      </c>
      <c r="C327" s="4" t="s">
        <v>173</v>
      </c>
      <c r="D327" s="2" t="s">
        <v>4</v>
      </c>
      <c r="E327" s="3"/>
      <c r="F327" s="34">
        <v>286</v>
      </c>
      <c r="G327" s="39"/>
      <c r="H327" s="3"/>
      <c r="I327" s="32"/>
    </row>
    <row r="328" spans="1:9">
      <c r="A328" s="4" t="s">
        <v>8</v>
      </c>
      <c r="B328" s="7" t="s">
        <v>108</v>
      </c>
      <c r="C328" s="4" t="s">
        <v>174</v>
      </c>
      <c r="D328" s="2" t="s">
        <v>4</v>
      </c>
      <c r="E328" s="3"/>
      <c r="F328" s="34">
        <v>5518</v>
      </c>
      <c r="G328" s="39"/>
      <c r="H328" s="3"/>
      <c r="I328" s="32"/>
    </row>
    <row r="329" spans="1:9">
      <c r="A329" s="4" t="s">
        <v>8</v>
      </c>
      <c r="B329" s="7" t="s">
        <v>109</v>
      </c>
      <c r="C329" s="4" t="s">
        <v>174</v>
      </c>
      <c r="D329" s="2" t="s">
        <v>4</v>
      </c>
      <c r="E329" s="3"/>
      <c r="F329" s="34">
        <v>180</v>
      </c>
      <c r="G329" s="39"/>
      <c r="H329" s="3"/>
      <c r="I329" s="32"/>
    </row>
    <row r="330" spans="1:9">
      <c r="A330" s="4" t="s">
        <v>8</v>
      </c>
      <c r="B330" s="7" t="s">
        <v>110</v>
      </c>
      <c r="C330" s="4" t="s">
        <v>747</v>
      </c>
      <c r="D330" s="2" t="s">
        <v>4</v>
      </c>
      <c r="E330" s="3"/>
      <c r="F330" s="34">
        <v>1294</v>
      </c>
      <c r="G330" s="39"/>
      <c r="H330" s="3"/>
      <c r="I330" s="32"/>
    </row>
    <row r="331" spans="1:9">
      <c r="A331" s="4" t="s">
        <v>8</v>
      </c>
      <c r="B331" s="7" t="s">
        <v>111</v>
      </c>
      <c r="C331" s="4" t="s">
        <v>748</v>
      </c>
      <c r="D331" s="2" t="s">
        <v>4</v>
      </c>
      <c r="E331" s="3"/>
      <c r="F331" s="34">
        <v>90</v>
      </c>
      <c r="G331" s="39"/>
      <c r="H331" s="3"/>
      <c r="I331" s="32"/>
    </row>
    <row r="332" spans="1:9">
      <c r="A332" s="4" t="s">
        <v>8</v>
      </c>
      <c r="B332" s="7" t="s">
        <v>112</v>
      </c>
      <c r="C332" s="4" t="s">
        <v>175</v>
      </c>
      <c r="D332" s="2" t="s">
        <v>4</v>
      </c>
      <c r="E332" s="3"/>
      <c r="F332" s="34">
        <v>670</v>
      </c>
      <c r="G332" s="39">
        <f>1728*2</f>
        <v>3456</v>
      </c>
      <c r="H332" s="3"/>
      <c r="I332" s="32"/>
    </row>
    <row r="333" spans="1:9">
      <c r="A333" s="4" t="s">
        <v>8</v>
      </c>
      <c r="B333" s="7" t="s">
        <v>113</v>
      </c>
      <c r="C333" s="4" t="s">
        <v>176</v>
      </c>
      <c r="D333" s="2" t="s">
        <v>4</v>
      </c>
      <c r="E333" s="3"/>
      <c r="F333" s="34">
        <v>57</v>
      </c>
      <c r="G333" s="39">
        <v>1728</v>
      </c>
      <c r="H333" s="3"/>
      <c r="I333" s="32"/>
    </row>
    <row r="334" spans="1:9">
      <c r="A334" s="4" t="s">
        <v>8</v>
      </c>
      <c r="B334" s="7" t="s">
        <v>114</v>
      </c>
      <c r="C334" s="4" t="s">
        <v>177</v>
      </c>
      <c r="D334" s="2" t="s">
        <v>4</v>
      </c>
      <c r="E334" s="3"/>
      <c r="F334" s="34">
        <v>550</v>
      </c>
      <c r="G334" s="39">
        <f>1728*2</f>
        <v>3456</v>
      </c>
      <c r="H334" s="3"/>
      <c r="I334" s="32"/>
    </row>
    <row r="335" spans="1:9">
      <c r="A335" s="4" t="s">
        <v>8</v>
      </c>
      <c r="B335" s="7" t="s">
        <v>115</v>
      </c>
      <c r="C335" s="4" t="s">
        <v>178</v>
      </c>
      <c r="D335" s="2" t="s">
        <v>4</v>
      </c>
      <c r="E335" s="3"/>
      <c r="F335" s="34">
        <v>836</v>
      </c>
      <c r="G335" s="39">
        <v>1728</v>
      </c>
      <c r="H335" s="3"/>
      <c r="I335" s="32"/>
    </row>
    <row r="336" spans="1:9">
      <c r="A336" s="4" t="s">
        <v>8</v>
      </c>
      <c r="B336" s="7" t="s">
        <v>116</v>
      </c>
      <c r="C336" s="4" t="s">
        <v>179</v>
      </c>
      <c r="D336" s="2" t="s">
        <v>4</v>
      </c>
      <c r="E336" s="3"/>
      <c r="F336" s="34">
        <v>3804</v>
      </c>
      <c r="G336" s="39"/>
      <c r="H336" s="3"/>
      <c r="I336" s="32"/>
    </row>
    <row r="337" spans="1:9">
      <c r="A337" s="4" t="s">
        <v>8</v>
      </c>
      <c r="B337" s="7" t="s">
        <v>117</v>
      </c>
      <c r="C337" s="4" t="s">
        <v>180</v>
      </c>
      <c r="D337" s="2" t="s">
        <v>4</v>
      </c>
      <c r="E337" s="3"/>
      <c r="F337" s="34">
        <v>2400</v>
      </c>
      <c r="G337" s="39"/>
      <c r="H337" s="3"/>
      <c r="I337" s="32"/>
    </row>
    <row r="338" spans="1:9">
      <c r="A338" s="4" t="s">
        <v>8</v>
      </c>
      <c r="B338" s="7" t="s">
        <v>118</v>
      </c>
      <c r="C338" s="4" t="s">
        <v>181</v>
      </c>
      <c r="D338" s="2" t="s">
        <v>4</v>
      </c>
      <c r="E338" s="3"/>
      <c r="F338" s="34">
        <v>1728</v>
      </c>
      <c r="G338" s="39"/>
      <c r="H338" s="3"/>
      <c r="I338" s="32"/>
    </row>
    <row r="339" spans="1:9">
      <c r="A339" s="4" t="s">
        <v>8</v>
      </c>
      <c r="B339" s="7" t="s">
        <v>119</v>
      </c>
      <c r="C339" s="4" t="s">
        <v>182</v>
      </c>
      <c r="D339" s="2" t="s">
        <v>4</v>
      </c>
      <c r="E339" s="3"/>
      <c r="F339" s="34">
        <v>430</v>
      </c>
      <c r="G339" s="39"/>
      <c r="H339" s="3"/>
      <c r="I339" s="32"/>
    </row>
    <row r="340" spans="1:9">
      <c r="A340" s="4" t="s">
        <v>8</v>
      </c>
      <c r="B340" s="7" t="s">
        <v>120</v>
      </c>
      <c r="C340" s="4" t="s">
        <v>183</v>
      </c>
      <c r="D340" s="2" t="s">
        <v>4</v>
      </c>
      <c r="E340" s="3"/>
      <c r="F340" s="34">
        <v>5180</v>
      </c>
      <c r="G340" s="39"/>
      <c r="H340" s="3"/>
      <c r="I340" s="32"/>
    </row>
    <row r="341" spans="1:9">
      <c r="A341" s="4" t="s">
        <v>8</v>
      </c>
      <c r="B341" s="7" t="s">
        <v>121</v>
      </c>
      <c r="C341" s="4" t="s">
        <v>184</v>
      </c>
      <c r="D341" s="2" t="s">
        <v>4</v>
      </c>
      <c r="E341" s="3"/>
      <c r="F341" s="34">
        <v>2592</v>
      </c>
      <c r="G341" s="39"/>
      <c r="H341" s="3"/>
      <c r="I341" s="32"/>
    </row>
    <row r="342" spans="1:9">
      <c r="A342" s="4" t="s">
        <v>8</v>
      </c>
      <c r="B342" s="7" t="s">
        <v>122</v>
      </c>
      <c r="C342" s="4" t="s">
        <v>185</v>
      </c>
      <c r="D342" s="2" t="s">
        <v>4</v>
      </c>
      <c r="E342" s="3"/>
      <c r="F342" s="34">
        <v>5184</v>
      </c>
      <c r="G342" s="39"/>
      <c r="H342" s="3"/>
      <c r="I342" s="32"/>
    </row>
    <row r="343" spans="1:9">
      <c r="A343" s="4" t="s">
        <v>8</v>
      </c>
      <c r="B343" s="7" t="s">
        <v>123</v>
      </c>
      <c r="C343" s="4" t="s">
        <v>186</v>
      </c>
      <c r="D343" s="2" t="s">
        <v>4</v>
      </c>
      <c r="E343" s="3"/>
      <c r="F343" s="34">
        <v>2592</v>
      </c>
      <c r="G343" s="39"/>
      <c r="H343" s="3"/>
      <c r="I343" s="32"/>
    </row>
    <row r="344" spans="1:9">
      <c r="A344" s="4" t="s">
        <v>8</v>
      </c>
      <c r="B344" s="7" t="s">
        <v>124</v>
      </c>
      <c r="C344" s="4" t="s">
        <v>187</v>
      </c>
      <c r="D344" s="2" t="s">
        <v>4</v>
      </c>
      <c r="E344" s="3"/>
      <c r="F344" s="34">
        <v>300</v>
      </c>
      <c r="G344" s="39"/>
      <c r="H344" s="3"/>
      <c r="I344" s="32"/>
    </row>
    <row r="345" spans="1:9">
      <c r="A345" s="4" t="s">
        <v>8</v>
      </c>
      <c r="B345" s="7" t="s">
        <v>125</v>
      </c>
      <c r="C345" s="4" t="s">
        <v>188</v>
      </c>
      <c r="D345" s="2" t="s">
        <v>4</v>
      </c>
      <c r="E345" s="3"/>
      <c r="F345" s="34">
        <v>800</v>
      </c>
      <c r="G345" s="39"/>
      <c r="H345" s="3"/>
      <c r="I345" s="32"/>
    </row>
    <row r="346" spans="1:9">
      <c r="A346" s="4" t="s">
        <v>8</v>
      </c>
      <c r="B346" s="7" t="s">
        <v>126</v>
      </c>
      <c r="C346" s="4" t="s">
        <v>51</v>
      </c>
      <c r="D346" s="2" t="s">
        <v>4</v>
      </c>
      <c r="E346" s="3"/>
      <c r="F346" s="34">
        <v>370</v>
      </c>
      <c r="G346" s="39"/>
      <c r="H346" s="3"/>
      <c r="I346" s="32"/>
    </row>
    <row r="347" spans="1:9">
      <c r="A347" s="4" t="s">
        <v>8</v>
      </c>
      <c r="B347" s="7" t="s">
        <v>127</v>
      </c>
      <c r="C347" s="4" t="s">
        <v>49</v>
      </c>
      <c r="D347" s="2" t="s">
        <v>4</v>
      </c>
      <c r="E347" s="3"/>
      <c r="F347" s="34">
        <v>2845</v>
      </c>
      <c r="G347" s="39"/>
      <c r="H347" s="3"/>
      <c r="I347" s="32"/>
    </row>
    <row r="348" spans="1:9">
      <c r="A348" s="4" t="s">
        <v>8</v>
      </c>
      <c r="B348" s="7" t="s">
        <v>128</v>
      </c>
      <c r="C348" s="4" t="s">
        <v>50</v>
      </c>
      <c r="D348" s="2" t="s">
        <v>4</v>
      </c>
      <c r="E348" s="3"/>
      <c r="F348" s="34">
        <v>2158</v>
      </c>
      <c r="G348" s="39"/>
      <c r="H348" s="3"/>
      <c r="I348" s="32"/>
    </row>
    <row r="349" spans="1:9">
      <c r="A349" s="4" t="s">
        <v>8</v>
      </c>
      <c r="B349" s="7" t="s">
        <v>129</v>
      </c>
      <c r="C349" s="4" t="s">
        <v>49</v>
      </c>
      <c r="D349" s="2" t="s">
        <v>4</v>
      </c>
      <c r="E349" s="3"/>
      <c r="F349" s="34">
        <v>1152</v>
      </c>
      <c r="G349" s="39"/>
      <c r="H349" s="3"/>
      <c r="I349" s="32"/>
    </row>
    <row r="350" spans="1:9">
      <c r="A350" s="4" t="s">
        <v>8</v>
      </c>
      <c r="B350" s="7" t="s">
        <v>130</v>
      </c>
      <c r="C350" s="4" t="s">
        <v>190</v>
      </c>
      <c r="D350" s="2" t="s">
        <v>4</v>
      </c>
      <c r="E350" s="3"/>
      <c r="F350" s="34">
        <v>527</v>
      </c>
      <c r="G350" s="39"/>
      <c r="H350" s="3"/>
      <c r="I350" s="32"/>
    </row>
    <row r="351" spans="1:9">
      <c r="A351" s="4" t="s">
        <v>8</v>
      </c>
      <c r="B351" s="7" t="s">
        <v>131</v>
      </c>
      <c r="C351" s="4" t="s">
        <v>189</v>
      </c>
      <c r="D351" s="2" t="s">
        <v>4</v>
      </c>
      <c r="E351" s="3"/>
      <c r="F351" s="34">
        <v>2090</v>
      </c>
      <c r="G351" s="39"/>
      <c r="H351" s="3"/>
      <c r="I351" s="32"/>
    </row>
    <row r="352" spans="1:9">
      <c r="A352" s="4" t="s">
        <v>8</v>
      </c>
      <c r="B352" s="7" t="s">
        <v>132</v>
      </c>
      <c r="C352" s="4" t="s">
        <v>191</v>
      </c>
      <c r="D352" s="2" t="s">
        <v>4</v>
      </c>
      <c r="E352" s="3"/>
      <c r="F352" s="34">
        <v>373</v>
      </c>
      <c r="G352" s="39"/>
      <c r="H352" s="3"/>
      <c r="I352" s="32"/>
    </row>
    <row r="353" spans="1:9">
      <c r="A353" s="4" t="s">
        <v>8</v>
      </c>
      <c r="B353" s="7" t="s">
        <v>133</v>
      </c>
      <c r="C353" s="4" t="s">
        <v>192</v>
      </c>
      <c r="D353" s="2" t="s">
        <v>4</v>
      </c>
      <c r="E353" s="3"/>
      <c r="F353" s="34">
        <v>4016</v>
      </c>
      <c r="G353" s="39"/>
      <c r="H353" s="3"/>
      <c r="I353" s="32"/>
    </row>
    <row r="354" spans="1:9">
      <c r="A354" s="4" t="s">
        <v>8</v>
      </c>
      <c r="B354" s="7" t="s">
        <v>134</v>
      </c>
      <c r="C354" s="4" t="s">
        <v>193</v>
      </c>
      <c r="D354" s="2" t="s">
        <v>4</v>
      </c>
      <c r="E354" s="3"/>
      <c r="F354" s="34">
        <v>1412</v>
      </c>
      <c r="G354" s="39"/>
      <c r="H354" s="3"/>
      <c r="I354" s="32"/>
    </row>
    <row r="355" spans="1:9">
      <c r="A355" s="4" t="s">
        <v>8</v>
      </c>
      <c r="B355" s="7" t="s">
        <v>135</v>
      </c>
      <c r="C355" s="4" t="s">
        <v>194</v>
      </c>
      <c r="D355" s="2" t="s">
        <v>4</v>
      </c>
      <c r="E355" s="3"/>
      <c r="F355" s="34">
        <v>1728</v>
      </c>
      <c r="G355" s="39"/>
      <c r="H355" s="3"/>
      <c r="I355" s="32"/>
    </row>
    <row r="356" spans="1:9">
      <c r="A356" s="4" t="s">
        <v>8</v>
      </c>
      <c r="B356" s="7" t="s">
        <v>136</v>
      </c>
      <c r="C356" s="4" t="s">
        <v>195</v>
      </c>
      <c r="D356" s="2" t="s">
        <v>4</v>
      </c>
      <c r="E356" s="3"/>
      <c r="F356" s="34">
        <v>432</v>
      </c>
      <c r="G356" s="39"/>
      <c r="H356" s="3"/>
      <c r="I356" s="32"/>
    </row>
    <row r="357" spans="1:9">
      <c r="A357" s="4" t="s">
        <v>8</v>
      </c>
      <c r="B357" s="7" t="s">
        <v>137</v>
      </c>
      <c r="C357" s="4" t="s">
        <v>194</v>
      </c>
      <c r="D357" s="2" t="s">
        <v>4</v>
      </c>
      <c r="E357" s="3"/>
      <c r="F357" s="34">
        <v>560</v>
      </c>
      <c r="G357" s="39"/>
      <c r="H357" s="3"/>
      <c r="I357" s="32"/>
    </row>
    <row r="358" spans="1:9">
      <c r="A358" s="4" t="s">
        <v>8</v>
      </c>
      <c r="B358" s="7" t="s">
        <v>138</v>
      </c>
      <c r="C358" s="4" t="s">
        <v>195</v>
      </c>
      <c r="D358" s="2" t="s">
        <v>4</v>
      </c>
      <c r="E358" s="3"/>
      <c r="F358" s="34">
        <v>390</v>
      </c>
      <c r="G358" s="39"/>
      <c r="H358" s="3"/>
      <c r="I358" s="32"/>
    </row>
    <row r="359" spans="1:9">
      <c r="A359" s="4" t="s">
        <v>8</v>
      </c>
      <c r="B359" s="7" t="s">
        <v>196</v>
      </c>
      <c r="C359" s="4" t="s">
        <v>791</v>
      </c>
      <c r="D359" s="2" t="s">
        <v>4</v>
      </c>
      <c r="E359" s="3"/>
      <c r="F359" s="34">
        <v>7712</v>
      </c>
      <c r="G359" s="39"/>
      <c r="H359" s="3"/>
      <c r="I359" s="32"/>
    </row>
    <row r="360" spans="1:9">
      <c r="A360" s="4" t="s">
        <v>8</v>
      </c>
      <c r="B360" s="7" t="s">
        <v>197</v>
      </c>
      <c r="C360" s="4" t="s">
        <v>792</v>
      </c>
      <c r="D360" s="2" t="s">
        <v>4</v>
      </c>
      <c r="E360" s="3"/>
      <c r="F360" s="34">
        <v>1728</v>
      </c>
      <c r="G360" s="39"/>
      <c r="H360" s="3"/>
      <c r="I360" s="32"/>
    </row>
    <row r="361" spans="1:9">
      <c r="A361" s="4" t="s">
        <v>8</v>
      </c>
      <c r="B361" s="7" t="s">
        <v>793</v>
      </c>
      <c r="C361" s="4" t="s">
        <v>795</v>
      </c>
      <c r="D361" s="2" t="s">
        <v>4</v>
      </c>
      <c r="E361" s="3"/>
      <c r="F361" s="34">
        <v>4830</v>
      </c>
      <c r="G361" s="39"/>
      <c r="H361" s="3"/>
      <c r="I361" s="32"/>
    </row>
    <row r="362" spans="1:9">
      <c r="A362" s="4" t="s">
        <v>8</v>
      </c>
      <c r="B362" s="7" t="s">
        <v>794</v>
      </c>
      <c r="C362" s="4" t="s">
        <v>796</v>
      </c>
      <c r="D362" s="2" t="s">
        <v>4</v>
      </c>
      <c r="E362" s="3"/>
      <c r="F362" s="34">
        <v>2936</v>
      </c>
      <c r="G362" s="39"/>
      <c r="H362" s="3"/>
      <c r="I362" s="32"/>
    </row>
    <row r="363" spans="1:9">
      <c r="A363" s="4" t="s">
        <v>8</v>
      </c>
      <c r="B363" s="7" t="s">
        <v>797</v>
      </c>
      <c r="C363" s="4" t="s">
        <v>798</v>
      </c>
      <c r="D363" s="2" t="s">
        <v>4</v>
      </c>
      <c r="E363" s="3"/>
      <c r="F363" s="34">
        <v>70</v>
      </c>
      <c r="G363" s="39"/>
      <c r="H363" s="3"/>
      <c r="I363" s="32"/>
    </row>
    <row r="364" spans="1:9">
      <c r="A364" s="4" t="s">
        <v>8</v>
      </c>
      <c r="B364" s="7" t="s">
        <v>799</v>
      </c>
      <c r="C364" s="4" t="s">
        <v>800</v>
      </c>
      <c r="D364" s="2" t="s">
        <v>4</v>
      </c>
      <c r="E364" s="3"/>
      <c r="F364" s="34">
        <v>2510</v>
      </c>
      <c r="G364" s="39"/>
      <c r="H364" s="3"/>
      <c r="I364" s="32"/>
    </row>
    <row r="365" spans="1:9">
      <c r="A365" s="4" t="s">
        <v>8</v>
      </c>
      <c r="B365" s="7" t="s">
        <v>801</v>
      </c>
      <c r="C365" s="4" t="s">
        <v>802</v>
      </c>
      <c r="D365" s="2" t="s">
        <v>4</v>
      </c>
      <c r="E365" s="3"/>
      <c r="F365" s="34">
        <v>1157</v>
      </c>
      <c r="G365" s="39"/>
      <c r="H365" s="3"/>
      <c r="I365" s="32"/>
    </row>
    <row r="366" spans="1:9">
      <c r="A366" s="4" t="s">
        <v>8</v>
      </c>
      <c r="B366" s="7" t="s">
        <v>803</v>
      </c>
      <c r="C366" s="4" t="s">
        <v>804</v>
      </c>
      <c r="D366" s="2" t="s">
        <v>4</v>
      </c>
      <c r="E366" s="3"/>
      <c r="F366" s="34">
        <v>149</v>
      </c>
      <c r="G366" s="39"/>
      <c r="H366" s="3"/>
      <c r="I366" s="32"/>
    </row>
    <row r="367" spans="1:9" ht="22.1" customHeight="1">
      <c r="A367" s="46"/>
      <c r="B367" s="47"/>
      <c r="C367" s="46"/>
      <c r="D367" s="47"/>
      <c r="E367" s="48"/>
      <c r="F367" s="103">
        <f>SUM(F313:F366)</f>
        <v>110657</v>
      </c>
      <c r="G367" s="40"/>
      <c r="H367" s="3"/>
      <c r="I367" s="35"/>
    </row>
    <row r="368" spans="1:9">
      <c r="A368" s="4" t="s">
        <v>16</v>
      </c>
      <c r="B368" s="7" t="s">
        <v>329</v>
      </c>
      <c r="C368" s="4" t="s">
        <v>325</v>
      </c>
      <c r="D368" s="2" t="s">
        <v>4</v>
      </c>
      <c r="E368" s="3"/>
      <c r="F368" s="34">
        <v>3201</v>
      </c>
      <c r="G368" s="39"/>
      <c r="H368" s="3"/>
      <c r="I368" s="32"/>
    </row>
    <row r="369" spans="1:9">
      <c r="A369" s="4" t="s">
        <v>16</v>
      </c>
      <c r="B369" s="7" t="s">
        <v>330</v>
      </c>
      <c r="C369" s="4" t="s">
        <v>326</v>
      </c>
      <c r="D369" s="2" t="s">
        <v>4</v>
      </c>
      <c r="E369" s="3"/>
      <c r="F369" s="34">
        <v>3168</v>
      </c>
      <c r="G369" s="39"/>
      <c r="H369" s="3"/>
      <c r="I369" s="32"/>
    </row>
    <row r="370" spans="1:9">
      <c r="A370" s="4" t="s">
        <v>16</v>
      </c>
      <c r="B370" s="7" t="s">
        <v>331</v>
      </c>
      <c r="C370" s="4" t="s">
        <v>327</v>
      </c>
      <c r="D370" s="2" t="s">
        <v>4</v>
      </c>
      <c r="E370" s="3"/>
      <c r="F370" s="34">
        <v>3145</v>
      </c>
      <c r="G370" s="39"/>
      <c r="H370" s="3"/>
      <c r="I370" s="32"/>
    </row>
    <row r="371" spans="1:9">
      <c r="A371" s="4" t="s">
        <v>16</v>
      </c>
      <c r="B371" s="7" t="s">
        <v>332</v>
      </c>
      <c r="C371" s="4" t="s">
        <v>328</v>
      </c>
      <c r="D371" s="2" t="s">
        <v>4</v>
      </c>
      <c r="E371" s="3"/>
      <c r="F371" s="34">
        <v>2935</v>
      </c>
      <c r="G371" s="39"/>
      <c r="H371" s="3"/>
      <c r="I371" s="32"/>
    </row>
    <row r="372" spans="1:9">
      <c r="A372" s="4" t="s">
        <v>16</v>
      </c>
      <c r="B372" s="7" t="s">
        <v>333</v>
      </c>
      <c r="C372" s="4" t="s">
        <v>39</v>
      </c>
      <c r="D372" s="2" t="s">
        <v>4</v>
      </c>
      <c r="E372" s="3"/>
      <c r="F372" s="34">
        <v>50</v>
      </c>
      <c r="G372" s="39"/>
      <c r="H372" s="3"/>
      <c r="I372" s="32"/>
    </row>
    <row r="373" spans="1:9">
      <c r="A373" s="4" t="s">
        <v>16</v>
      </c>
      <c r="B373" s="7" t="s">
        <v>334</v>
      </c>
      <c r="C373" s="4" t="s">
        <v>48</v>
      </c>
      <c r="D373" s="2" t="s">
        <v>4</v>
      </c>
      <c r="E373" s="3"/>
      <c r="F373" s="34">
        <v>40</v>
      </c>
      <c r="G373" s="39"/>
      <c r="H373" s="3"/>
      <c r="I373" s="32"/>
    </row>
    <row r="374" spans="1:9" ht="22.1" customHeight="1">
      <c r="A374" s="46"/>
      <c r="B374" s="47"/>
      <c r="C374" s="46"/>
      <c r="D374" s="47"/>
      <c r="E374" s="48"/>
      <c r="F374" s="103">
        <f>SUM(F368:F373)</f>
        <v>12539</v>
      </c>
      <c r="G374" s="40"/>
      <c r="H374" s="3"/>
      <c r="I374" s="35"/>
    </row>
    <row r="375" spans="1:9">
      <c r="A375" s="4" t="s">
        <v>16</v>
      </c>
      <c r="B375" s="7" t="s">
        <v>335</v>
      </c>
      <c r="C375" s="4" t="s">
        <v>14</v>
      </c>
      <c r="D375" s="2" t="s">
        <v>4</v>
      </c>
      <c r="E375" s="3"/>
      <c r="F375" s="34">
        <v>1034</v>
      </c>
      <c r="G375" s="39"/>
      <c r="H375" s="3"/>
      <c r="I375" s="32"/>
    </row>
    <row r="376" spans="1:9">
      <c r="A376" s="4" t="s">
        <v>16</v>
      </c>
      <c r="B376" s="7" t="s">
        <v>336</v>
      </c>
      <c r="C376" s="4" t="s">
        <v>13</v>
      </c>
      <c r="D376" s="2" t="s">
        <v>4</v>
      </c>
      <c r="E376" s="3"/>
      <c r="F376" s="34">
        <v>1000</v>
      </c>
      <c r="G376" s="39"/>
      <c r="H376" s="3"/>
      <c r="I376" s="32"/>
    </row>
    <row r="377" spans="1:9">
      <c r="A377" s="4" t="s">
        <v>16</v>
      </c>
      <c r="B377" s="7" t="s">
        <v>337</v>
      </c>
      <c r="C377" s="4" t="s">
        <v>12</v>
      </c>
      <c r="D377" s="2" t="s">
        <v>4</v>
      </c>
      <c r="E377" s="3"/>
      <c r="F377" s="34">
        <v>2143</v>
      </c>
      <c r="G377" s="39"/>
      <c r="H377" s="3"/>
      <c r="I377" s="32"/>
    </row>
    <row r="378" spans="1:9">
      <c r="A378" s="4" t="s">
        <v>16</v>
      </c>
      <c r="B378" s="7" t="s">
        <v>338</v>
      </c>
      <c r="C378" s="4" t="s">
        <v>20</v>
      </c>
      <c r="D378" s="2" t="s">
        <v>4</v>
      </c>
      <c r="E378" s="3"/>
      <c r="F378" s="34">
        <v>3746</v>
      </c>
      <c r="G378" s="39"/>
      <c r="H378" s="3"/>
      <c r="I378" s="32"/>
    </row>
    <row r="379" spans="1:9">
      <c r="A379" s="4" t="s">
        <v>16</v>
      </c>
      <c r="B379" s="7" t="s">
        <v>339</v>
      </c>
      <c r="C379" s="4" t="s">
        <v>17</v>
      </c>
      <c r="D379" s="2" t="s">
        <v>4</v>
      </c>
      <c r="E379" s="3"/>
      <c r="F379" s="34">
        <v>3200</v>
      </c>
      <c r="G379" s="39"/>
      <c r="H379" s="3"/>
      <c r="I379" s="32"/>
    </row>
    <row r="380" spans="1:9">
      <c r="A380" s="4" t="s">
        <v>16</v>
      </c>
      <c r="B380" s="7" t="s">
        <v>340</v>
      </c>
      <c r="C380" s="4" t="s">
        <v>18</v>
      </c>
      <c r="D380" s="2" t="s">
        <v>4</v>
      </c>
      <c r="E380" s="3"/>
      <c r="F380" s="34">
        <v>3647</v>
      </c>
      <c r="G380" s="39"/>
      <c r="H380" s="3"/>
      <c r="I380" s="32"/>
    </row>
    <row r="381" spans="1:9">
      <c r="A381" s="4" t="s">
        <v>16</v>
      </c>
      <c r="B381" s="7" t="s">
        <v>341</v>
      </c>
      <c r="C381" s="4" t="s">
        <v>19</v>
      </c>
      <c r="D381" s="2" t="s">
        <v>4</v>
      </c>
      <c r="E381" s="3"/>
      <c r="F381" s="34">
        <v>4088</v>
      </c>
      <c r="G381" s="39"/>
      <c r="H381" s="3"/>
      <c r="I381" s="32"/>
    </row>
    <row r="382" spans="1:9">
      <c r="A382" s="4" t="s">
        <v>16</v>
      </c>
      <c r="B382" s="7" t="s">
        <v>342</v>
      </c>
      <c r="C382" s="4" t="s">
        <v>343</v>
      </c>
      <c r="D382" s="2" t="s">
        <v>4</v>
      </c>
      <c r="E382" s="3"/>
      <c r="F382" s="34">
        <v>1588</v>
      </c>
      <c r="G382" s="39"/>
      <c r="H382" s="3"/>
      <c r="I382" s="32"/>
    </row>
    <row r="383" spans="1:9" ht="22.1" customHeight="1">
      <c r="A383" s="46"/>
      <c r="B383" s="47"/>
      <c r="C383" s="46"/>
      <c r="D383" s="47"/>
      <c r="E383" s="48"/>
      <c r="F383" s="103">
        <f>SUM(F375:F382)</f>
        <v>20446</v>
      </c>
      <c r="G383" s="40"/>
      <c r="H383" s="3"/>
      <c r="I383" s="35"/>
    </row>
    <row r="384" spans="1:9">
      <c r="A384" s="4" t="s">
        <v>16</v>
      </c>
      <c r="B384" s="7" t="s">
        <v>301</v>
      </c>
      <c r="C384" s="4" t="s">
        <v>284</v>
      </c>
      <c r="D384" s="2" t="s">
        <v>4</v>
      </c>
      <c r="E384" s="3"/>
      <c r="F384" s="34">
        <v>3487</v>
      </c>
      <c r="G384" s="39"/>
      <c r="H384" s="3"/>
      <c r="I384" s="32"/>
    </row>
    <row r="385" spans="1:9">
      <c r="A385" s="4" t="s">
        <v>16</v>
      </c>
      <c r="B385" s="7" t="s">
        <v>302</v>
      </c>
      <c r="C385" s="4" t="s">
        <v>285</v>
      </c>
      <c r="D385" s="2" t="s">
        <v>4</v>
      </c>
      <c r="E385" s="3"/>
      <c r="F385" s="34">
        <v>3339</v>
      </c>
      <c r="G385" s="39"/>
      <c r="H385" s="3"/>
      <c r="I385" s="32"/>
    </row>
    <row r="386" spans="1:9">
      <c r="A386" s="4" t="s">
        <v>16</v>
      </c>
      <c r="B386" s="7" t="s">
        <v>303</v>
      </c>
      <c r="C386" s="4" t="s">
        <v>286</v>
      </c>
      <c r="D386" s="2" t="s">
        <v>4</v>
      </c>
      <c r="E386" s="3"/>
      <c r="F386" s="34">
        <v>1002</v>
      </c>
      <c r="G386" s="39"/>
      <c r="H386" s="3"/>
      <c r="I386" s="32"/>
    </row>
    <row r="387" spans="1:9">
      <c r="A387" s="4" t="s">
        <v>16</v>
      </c>
      <c r="B387" s="7" t="s">
        <v>304</v>
      </c>
      <c r="C387" s="4" t="s">
        <v>288</v>
      </c>
      <c r="D387" s="2" t="s">
        <v>4</v>
      </c>
      <c r="E387" s="3"/>
      <c r="F387" s="34">
        <v>2000</v>
      </c>
      <c r="G387" s="39"/>
      <c r="H387" s="3"/>
      <c r="I387" s="32"/>
    </row>
    <row r="388" spans="1:9">
      <c r="A388" s="4" t="s">
        <v>16</v>
      </c>
      <c r="B388" s="7" t="s">
        <v>305</v>
      </c>
      <c r="C388" s="4" t="s">
        <v>287</v>
      </c>
      <c r="D388" s="2" t="s">
        <v>4</v>
      </c>
      <c r="E388" s="3"/>
      <c r="F388" s="34">
        <v>1300</v>
      </c>
      <c r="G388" s="39"/>
      <c r="H388" s="3"/>
      <c r="I388" s="32"/>
    </row>
    <row r="389" spans="1:9">
      <c r="A389" s="4" t="s">
        <v>16</v>
      </c>
      <c r="B389" s="7" t="s">
        <v>306</v>
      </c>
      <c r="C389" s="4" t="s">
        <v>289</v>
      </c>
      <c r="D389" s="2" t="s">
        <v>4</v>
      </c>
      <c r="E389" s="3"/>
      <c r="F389" s="34">
        <v>1197</v>
      </c>
      <c r="G389" s="39"/>
      <c r="H389" s="3"/>
      <c r="I389" s="32"/>
    </row>
    <row r="390" spans="1:9">
      <c r="A390" s="4" t="s">
        <v>16</v>
      </c>
      <c r="B390" s="7" t="s">
        <v>307</v>
      </c>
      <c r="C390" s="4" t="s">
        <v>290</v>
      </c>
      <c r="D390" s="2" t="s">
        <v>4</v>
      </c>
      <c r="E390" s="3"/>
      <c r="F390" s="34">
        <v>1500</v>
      </c>
      <c r="G390" s="39"/>
      <c r="H390" s="3"/>
      <c r="I390" s="32"/>
    </row>
    <row r="391" spans="1:9">
      <c r="A391" s="4" t="s">
        <v>16</v>
      </c>
      <c r="B391" s="7" t="s">
        <v>308</v>
      </c>
      <c r="C391" s="4" t="s">
        <v>291</v>
      </c>
      <c r="D391" s="2" t="s">
        <v>4</v>
      </c>
      <c r="E391" s="3"/>
      <c r="F391" s="34">
        <v>1530</v>
      </c>
      <c r="G391" s="39"/>
      <c r="H391" s="3"/>
      <c r="I391" s="32"/>
    </row>
    <row r="392" spans="1:9">
      <c r="A392" s="4" t="s">
        <v>16</v>
      </c>
      <c r="B392" s="7" t="s">
        <v>309</v>
      </c>
      <c r="C392" s="4" t="s">
        <v>283</v>
      </c>
      <c r="D392" s="2" t="s">
        <v>4</v>
      </c>
      <c r="E392" s="3"/>
      <c r="F392" s="34">
        <v>2900</v>
      </c>
      <c r="G392" s="39"/>
      <c r="H392" s="3"/>
      <c r="I392" s="32"/>
    </row>
    <row r="393" spans="1:9">
      <c r="A393" s="4" t="s">
        <v>16</v>
      </c>
      <c r="B393" s="7" t="s">
        <v>310</v>
      </c>
      <c r="C393" s="4" t="s">
        <v>282</v>
      </c>
      <c r="D393" s="2" t="s">
        <v>4</v>
      </c>
      <c r="E393" s="3"/>
      <c r="F393" s="34">
        <v>3477</v>
      </c>
      <c r="G393" s="39"/>
      <c r="H393" s="3"/>
      <c r="I393" s="32"/>
    </row>
    <row r="394" spans="1:9">
      <c r="A394" s="4" t="s">
        <v>16</v>
      </c>
      <c r="B394" s="7" t="s">
        <v>311</v>
      </c>
      <c r="C394" s="4" t="s">
        <v>292</v>
      </c>
      <c r="D394" s="2" t="s">
        <v>4</v>
      </c>
      <c r="E394" s="3"/>
      <c r="F394" s="34">
        <v>2000</v>
      </c>
      <c r="G394" s="39"/>
      <c r="H394" s="3"/>
      <c r="I394" s="32"/>
    </row>
    <row r="395" spans="1:9">
      <c r="A395" s="4" t="s">
        <v>16</v>
      </c>
      <c r="B395" s="7" t="s">
        <v>312</v>
      </c>
      <c r="C395" s="4" t="s">
        <v>279</v>
      </c>
      <c r="D395" s="2" t="s">
        <v>4</v>
      </c>
      <c r="E395" s="3"/>
      <c r="F395" s="34">
        <v>3000</v>
      </c>
      <c r="G395" s="39"/>
      <c r="H395" s="3"/>
      <c r="I395" s="32"/>
    </row>
    <row r="396" spans="1:9">
      <c r="A396" s="4" t="s">
        <v>16</v>
      </c>
      <c r="B396" s="7" t="s">
        <v>313</v>
      </c>
      <c r="C396" s="4" t="s">
        <v>278</v>
      </c>
      <c r="D396" s="2" t="s">
        <v>4</v>
      </c>
      <c r="E396" s="3"/>
      <c r="F396" s="34">
        <v>1400</v>
      </c>
      <c r="G396" s="39"/>
      <c r="H396" s="3"/>
      <c r="I396" s="32"/>
    </row>
    <row r="397" spans="1:9">
      <c r="A397" s="4" t="s">
        <v>16</v>
      </c>
      <c r="B397" s="7" t="s">
        <v>314</v>
      </c>
      <c r="C397" s="4" t="s">
        <v>280</v>
      </c>
      <c r="D397" s="2" t="s">
        <v>4</v>
      </c>
      <c r="E397" s="3"/>
      <c r="F397" s="34">
        <v>500</v>
      </c>
      <c r="G397" s="39"/>
      <c r="H397" s="3"/>
      <c r="I397" s="32"/>
    </row>
    <row r="398" spans="1:9">
      <c r="A398" s="4" t="s">
        <v>16</v>
      </c>
      <c r="B398" s="7" t="s">
        <v>315</v>
      </c>
      <c r="C398" s="4" t="s">
        <v>281</v>
      </c>
      <c r="D398" s="2" t="s">
        <v>4</v>
      </c>
      <c r="E398" s="3"/>
      <c r="F398" s="34">
        <v>1500</v>
      </c>
      <c r="G398" s="39"/>
      <c r="H398" s="3"/>
      <c r="I398" s="32"/>
    </row>
    <row r="399" spans="1:9">
      <c r="A399" s="4" t="s">
        <v>16</v>
      </c>
      <c r="B399" s="7" t="s">
        <v>316</v>
      </c>
      <c r="C399" s="4" t="s">
        <v>293</v>
      </c>
      <c r="D399" s="2" t="s">
        <v>4</v>
      </c>
      <c r="E399" s="3"/>
      <c r="F399" s="34">
        <v>4522</v>
      </c>
      <c r="G399" s="39"/>
      <c r="H399" s="3"/>
      <c r="I399" s="32"/>
    </row>
    <row r="400" spans="1:9">
      <c r="A400" s="4" t="s">
        <v>16</v>
      </c>
      <c r="B400" s="7" t="s">
        <v>317</v>
      </c>
      <c r="C400" s="4" t="s">
        <v>294</v>
      </c>
      <c r="D400" s="2" t="s">
        <v>4</v>
      </c>
      <c r="E400" s="3"/>
      <c r="F400" s="34">
        <v>3227</v>
      </c>
      <c r="G400" s="39"/>
      <c r="H400" s="3"/>
      <c r="I400" s="32"/>
    </row>
    <row r="401" spans="1:9">
      <c r="A401" s="4" t="s">
        <v>16</v>
      </c>
      <c r="B401" s="7" t="s">
        <v>318</v>
      </c>
      <c r="C401" s="4" t="s">
        <v>295</v>
      </c>
      <c r="D401" s="2" t="s">
        <v>4</v>
      </c>
      <c r="E401" s="3"/>
      <c r="F401" s="34">
        <v>2800</v>
      </c>
      <c r="G401" s="39"/>
      <c r="H401" s="3"/>
      <c r="I401" s="32"/>
    </row>
    <row r="402" spans="1:9">
      <c r="A402" s="4" t="s">
        <v>16</v>
      </c>
      <c r="B402" s="7" t="s">
        <v>319</v>
      </c>
      <c r="C402" s="4" t="s">
        <v>296</v>
      </c>
      <c r="D402" s="2" t="s">
        <v>4</v>
      </c>
      <c r="E402" s="3"/>
      <c r="F402" s="34">
        <v>4435</v>
      </c>
      <c r="G402" s="39"/>
      <c r="H402" s="3"/>
      <c r="I402" s="32"/>
    </row>
    <row r="403" spans="1:9">
      <c r="A403" s="4" t="s">
        <v>16</v>
      </c>
      <c r="B403" s="7" t="s">
        <v>320</v>
      </c>
      <c r="C403" s="4" t="s">
        <v>298</v>
      </c>
      <c r="D403" s="2" t="s">
        <v>4</v>
      </c>
      <c r="E403" s="3"/>
      <c r="F403" s="34">
        <v>3187</v>
      </c>
      <c r="G403" s="39"/>
      <c r="H403" s="3"/>
      <c r="I403" s="32"/>
    </row>
    <row r="404" spans="1:9">
      <c r="A404" s="4" t="s">
        <v>16</v>
      </c>
      <c r="B404" s="7" t="s">
        <v>321</v>
      </c>
      <c r="C404" s="4" t="s">
        <v>297</v>
      </c>
      <c r="D404" s="2" t="s">
        <v>4</v>
      </c>
      <c r="E404" s="3"/>
      <c r="F404" s="34">
        <v>160</v>
      </c>
      <c r="G404" s="39"/>
      <c r="H404" s="3"/>
      <c r="I404" s="32"/>
    </row>
    <row r="405" spans="1:9">
      <c r="A405" s="4" t="s">
        <v>16</v>
      </c>
      <c r="B405" s="7" t="s">
        <v>322</v>
      </c>
      <c r="C405" s="4" t="s">
        <v>282</v>
      </c>
      <c r="D405" s="2" t="s">
        <v>4</v>
      </c>
      <c r="E405" s="3"/>
      <c r="F405" s="34">
        <v>7</v>
      </c>
      <c r="G405" s="39"/>
      <c r="H405" s="3"/>
      <c r="I405" s="32"/>
    </row>
    <row r="406" spans="1:9">
      <c r="A406" s="4" t="s">
        <v>16</v>
      </c>
      <c r="B406" s="7" t="s">
        <v>323</v>
      </c>
      <c r="C406" s="4" t="s">
        <v>299</v>
      </c>
      <c r="D406" s="2" t="s">
        <v>4</v>
      </c>
      <c r="E406" s="3"/>
      <c r="F406" s="34">
        <v>296</v>
      </c>
      <c r="G406" s="39"/>
      <c r="H406" s="3"/>
      <c r="I406" s="32"/>
    </row>
    <row r="407" spans="1:9">
      <c r="A407" s="4" t="s">
        <v>16</v>
      </c>
      <c r="B407" s="7" t="s">
        <v>324</v>
      </c>
      <c r="C407" s="4" t="s">
        <v>300</v>
      </c>
      <c r="D407" s="2" t="s">
        <v>4</v>
      </c>
      <c r="E407" s="3"/>
      <c r="F407" s="34">
        <v>3060</v>
      </c>
      <c r="G407" s="39"/>
      <c r="H407" s="3"/>
      <c r="I407" s="32"/>
    </row>
    <row r="408" spans="1:9" ht="22.1" customHeight="1">
      <c r="A408" s="46"/>
      <c r="B408" s="47"/>
      <c r="C408" s="46"/>
      <c r="D408" s="47"/>
      <c r="E408" s="48"/>
      <c r="F408" s="103">
        <f>SUM(F384:F407)</f>
        <v>51826</v>
      </c>
      <c r="G408" s="40"/>
      <c r="H408" s="3"/>
      <c r="I408" s="35"/>
    </row>
    <row r="409" spans="1:9">
      <c r="A409" s="4" t="s">
        <v>10</v>
      </c>
      <c r="B409" s="7" t="s">
        <v>346</v>
      </c>
      <c r="C409" s="4" t="s">
        <v>34</v>
      </c>
      <c r="D409" s="2" t="s">
        <v>4</v>
      </c>
      <c r="E409" s="3"/>
      <c r="F409" s="34">
        <v>10</v>
      </c>
      <c r="G409" s="39"/>
      <c r="H409" s="3"/>
      <c r="I409" s="32"/>
    </row>
    <row r="410" spans="1:9">
      <c r="A410" s="4" t="s">
        <v>15</v>
      </c>
      <c r="B410" s="7" t="s">
        <v>347</v>
      </c>
      <c r="C410" s="4" t="s">
        <v>40</v>
      </c>
      <c r="D410" s="2" t="s">
        <v>4</v>
      </c>
      <c r="E410" s="3"/>
      <c r="F410" s="34">
        <v>20</v>
      </c>
      <c r="G410" s="39"/>
      <c r="H410" s="3"/>
      <c r="I410" s="32"/>
    </row>
    <row r="411" spans="1:9">
      <c r="A411" s="4" t="s">
        <v>15</v>
      </c>
      <c r="B411" s="7" t="s">
        <v>348</v>
      </c>
      <c r="C411" s="4" t="s">
        <v>790</v>
      </c>
      <c r="D411" s="2" t="s">
        <v>4</v>
      </c>
      <c r="E411" s="3"/>
      <c r="F411" s="34">
        <v>3673</v>
      </c>
      <c r="G411" s="39">
        <v>595</v>
      </c>
      <c r="H411" s="3"/>
      <c r="I411" s="32"/>
    </row>
    <row r="412" spans="1:9">
      <c r="A412" s="4" t="s">
        <v>15</v>
      </c>
      <c r="B412" s="7" t="s">
        <v>847</v>
      </c>
      <c r="C412" s="4" t="s">
        <v>848</v>
      </c>
      <c r="D412" s="2" t="s">
        <v>4</v>
      </c>
      <c r="E412" s="3"/>
      <c r="F412" s="34">
        <v>6000</v>
      </c>
      <c r="G412" s="39"/>
      <c r="H412" s="3"/>
      <c r="I412" s="32"/>
    </row>
    <row r="413" spans="1:9">
      <c r="A413" s="4" t="s">
        <v>15</v>
      </c>
      <c r="B413" s="7" t="s">
        <v>849</v>
      </c>
      <c r="C413" s="4" t="s">
        <v>850</v>
      </c>
      <c r="D413" s="2" t="s">
        <v>4</v>
      </c>
      <c r="E413" s="3"/>
      <c r="F413" s="34">
        <v>3800</v>
      </c>
      <c r="G413" s="39"/>
      <c r="H413" s="3"/>
      <c r="I413" s="32"/>
    </row>
    <row r="414" spans="1:9">
      <c r="A414" s="4" t="s">
        <v>15</v>
      </c>
      <c r="B414" s="7" t="s">
        <v>851</v>
      </c>
      <c r="C414" s="4" t="s">
        <v>852</v>
      </c>
      <c r="D414" s="2" t="s">
        <v>4</v>
      </c>
      <c r="E414" s="3"/>
      <c r="F414" s="34">
        <v>6300</v>
      </c>
      <c r="G414" s="39"/>
      <c r="H414" s="3"/>
      <c r="I414" s="32"/>
    </row>
    <row r="415" spans="1:9">
      <c r="A415" s="4" t="s">
        <v>15</v>
      </c>
      <c r="B415" s="7" t="s">
        <v>857</v>
      </c>
      <c r="C415" s="4" t="s">
        <v>858</v>
      </c>
      <c r="D415" s="2" t="s">
        <v>4</v>
      </c>
      <c r="E415" s="3"/>
      <c r="F415" s="34">
        <v>2300</v>
      </c>
      <c r="G415" s="39"/>
      <c r="H415" s="3"/>
      <c r="I415" s="32"/>
    </row>
    <row r="416" spans="1:9">
      <c r="A416" s="4" t="s">
        <v>15</v>
      </c>
      <c r="B416" s="7" t="s">
        <v>853</v>
      </c>
      <c r="C416" s="4" t="s">
        <v>854</v>
      </c>
      <c r="D416" s="2" t="s">
        <v>4</v>
      </c>
      <c r="E416" s="3"/>
      <c r="F416" s="34">
        <v>9680</v>
      </c>
      <c r="G416" s="39"/>
      <c r="H416" s="3"/>
      <c r="I416" s="32"/>
    </row>
    <row r="417" spans="1:9">
      <c r="A417" s="4" t="s">
        <v>15</v>
      </c>
      <c r="B417" s="7" t="s">
        <v>855</v>
      </c>
      <c r="C417" s="4" t="s">
        <v>856</v>
      </c>
      <c r="D417" s="2" t="s">
        <v>4</v>
      </c>
      <c r="E417" s="3"/>
      <c r="F417" s="34">
        <v>4490</v>
      </c>
      <c r="G417" s="39"/>
      <c r="H417" s="3"/>
      <c r="I417" s="32"/>
    </row>
    <row r="418" spans="1:9" ht="22.1" customHeight="1">
      <c r="A418" s="46"/>
      <c r="B418" s="47"/>
      <c r="C418" s="46"/>
      <c r="D418" s="47"/>
      <c r="E418" s="48"/>
      <c r="F418" s="103">
        <f>SUM(F409:F417)</f>
        <v>36273</v>
      </c>
      <c r="G418" s="40"/>
      <c r="H418" s="3"/>
      <c r="I418" s="35"/>
    </row>
    <row r="419" spans="1:9">
      <c r="A419" s="4" t="s">
        <v>11</v>
      </c>
      <c r="B419" s="7" t="s">
        <v>349</v>
      </c>
      <c r="C419" s="4" t="s">
        <v>5</v>
      </c>
      <c r="D419" s="2" t="s">
        <v>4</v>
      </c>
      <c r="E419" s="3"/>
      <c r="F419" s="34">
        <v>1950</v>
      </c>
      <c r="G419" s="39"/>
      <c r="H419" s="3"/>
      <c r="I419" s="32"/>
    </row>
    <row r="420" spans="1:9">
      <c r="A420" s="4" t="s">
        <v>16</v>
      </c>
      <c r="B420" s="7" t="s">
        <v>350</v>
      </c>
      <c r="C420" s="4" t="s">
        <v>7</v>
      </c>
      <c r="D420" s="2" t="s">
        <v>4</v>
      </c>
      <c r="E420" s="3"/>
      <c r="F420" s="34">
        <v>9000</v>
      </c>
      <c r="G420" s="39"/>
      <c r="H420" s="3"/>
      <c r="I420" s="32"/>
    </row>
    <row r="421" spans="1:9">
      <c r="A421" s="4" t="s">
        <v>519</v>
      </c>
      <c r="B421" s="7" t="s">
        <v>516</v>
      </c>
      <c r="C421" s="4" t="s">
        <v>517</v>
      </c>
      <c r="D421" s="2" t="s">
        <v>4</v>
      </c>
      <c r="E421" s="3"/>
      <c r="F421" s="34">
        <v>480</v>
      </c>
      <c r="G421" s="39"/>
      <c r="H421" s="3"/>
      <c r="I421" s="32"/>
    </row>
    <row r="422" spans="1:9">
      <c r="A422" s="4" t="s">
        <v>519</v>
      </c>
      <c r="B422" s="7" t="s">
        <v>789</v>
      </c>
      <c r="C422" s="4" t="s">
        <v>860</v>
      </c>
      <c r="D422" s="2" t="s">
        <v>4</v>
      </c>
      <c r="E422" s="3"/>
      <c r="F422" s="34">
        <v>6000</v>
      </c>
      <c r="G422" s="39"/>
      <c r="H422" s="3"/>
      <c r="I422" s="32"/>
    </row>
    <row r="423" spans="1:9">
      <c r="A423" s="4" t="s">
        <v>519</v>
      </c>
      <c r="B423" s="7" t="s">
        <v>789</v>
      </c>
      <c r="C423" s="4" t="s">
        <v>861</v>
      </c>
      <c r="D423" s="2" t="s">
        <v>4</v>
      </c>
      <c r="E423" s="3"/>
      <c r="F423" s="34">
        <v>898</v>
      </c>
      <c r="G423" s="39"/>
      <c r="H423" s="3"/>
      <c r="I423" s="32"/>
    </row>
    <row r="424" spans="1:9">
      <c r="A424" s="4" t="s">
        <v>519</v>
      </c>
      <c r="B424" s="7" t="s">
        <v>789</v>
      </c>
      <c r="C424" s="4" t="s">
        <v>862</v>
      </c>
      <c r="D424" s="2" t="s">
        <v>4</v>
      </c>
      <c r="E424" s="3"/>
      <c r="F424" s="34">
        <v>3373</v>
      </c>
      <c r="G424" s="39"/>
      <c r="H424" s="3"/>
      <c r="I424" s="32"/>
    </row>
    <row r="425" spans="1:9">
      <c r="A425" s="4" t="s">
        <v>519</v>
      </c>
      <c r="B425" s="7" t="s">
        <v>789</v>
      </c>
      <c r="C425" s="4" t="s">
        <v>863</v>
      </c>
      <c r="D425" s="2" t="s">
        <v>4</v>
      </c>
      <c r="E425" s="3"/>
      <c r="F425" s="34">
        <v>248</v>
      </c>
      <c r="G425" s="39"/>
      <c r="H425" s="3"/>
      <c r="I425" s="32"/>
    </row>
    <row r="426" spans="1:9">
      <c r="A426" s="4" t="s">
        <v>519</v>
      </c>
      <c r="B426" s="7" t="s">
        <v>789</v>
      </c>
      <c r="C426" s="4" t="s">
        <v>859</v>
      </c>
      <c r="D426" s="2" t="s">
        <v>4</v>
      </c>
      <c r="E426" s="3"/>
      <c r="F426" s="34">
        <v>6000</v>
      </c>
      <c r="G426" s="39"/>
      <c r="H426" s="3"/>
      <c r="I426" s="32"/>
    </row>
    <row r="427" spans="1:9" ht="20.05" customHeight="1">
      <c r="F427" s="103">
        <f>SUM(F419:F426)</f>
        <v>27949</v>
      </c>
    </row>
  </sheetData>
  <mergeCells count="1">
    <mergeCell ref="B1:F1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K160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G7" sqref="G7"/>
    </sheetView>
  </sheetViews>
  <sheetFormatPr baseColWidth="10" defaultRowHeight="12.55"/>
  <cols>
    <col min="1" max="1" width="10.5546875" customWidth="1"/>
    <col min="2" max="2" width="19.88671875" bestFit="1" customWidth="1"/>
    <col min="3" max="3" width="8.5546875" customWidth="1"/>
    <col min="4" max="4" width="65.88671875" bestFit="1" customWidth="1"/>
    <col min="5" max="5" width="7.6640625" bestFit="1" customWidth="1"/>
    <col min="6" max="6" width="0.77734375" customWidth="1"/>
    <col min="7" max="11" width="12.5546875" customWidth="1"/>
  </cols>
  <sheetData>
    <row r="1" spans="1:11" ht="22.55">
      <c r="B1" s="287" t="s">
        <v>1413</v>
      </c>
      <c r="C1" s="287"/>
      <c r="D1" s="287"/>
      <c r="E1" s="287"/>
      <c r="F1" s="287"/>
      <c r="G1" s="287"/>
      <c r="H1" s="287"/>
      <c r="I1" s="287"/>
      <c r="J1" s="287"/>
    </row>
    <row r="2" spans="1:11" ht="13.15" thickBot="1">
      <c r="A2" s="106"/>
      <c r="B2" s="106"/>
      <c r="C2" s="106"/>
      <c r="D2" s="106"/>
      <c r="E2" s="106"/>
      <c r="F2" s="106"/>
      <c r="G2" s="106"/>
      <c r="H2" s="106"/>
      <c r="I2" s="106"/>
      <c r="J2" s="193"/>
    </row>
    <row r="3" spans="1:11" ht="14.4">
      <c r="A3" s="288" t="s">
        <v>0</v>
      </c>
      <c r="B3" s="288" t="s">
        <v>1414</v>
      </c>
      <c r="C3" s="285" t="s">
        <v>24</v>
      </c>
      <c r="D3" s="290" t="s">
        <v>25</v>
      </c>
      <c r="E3" s="288" t="s">
        <v>907</v>
      </c>
      <c r="F3" s="234"/>
      <c r="G3" s="285" t="s">
        <v>1580</v>
      </c>
      <c r="H3" s="285" t="s">
        <v>1582</v>
      </c>
      <c r="I3" s="285" t="s">
        <v>1583</v>
      </c>
      <c r="J3" s="285" t="s">
        <v>1584</v>
      </c>
      <c r="K3" s="285" t="s">
        <v>1581</v>
      </c>
    </row>
    <row r="4" spans="1:11" ht="15.05" thickBot="1">
      <c r="A4" s="289"/>
      <c r="B4" s="289"/>
      <c r="C4" s="286"/>
      <c r="D4" s="291"/>
      <c r="E4" s="289"/>
      <c r="F4" s="123"/>
      <c r="G4" s="286"/>
      <c r="H4" s="286"/>
      <c r="I4" s="286"/>
      <c r="J4" s="286"/>
      <c r="K4" s="286"/>
    </row>
    <row r="5" spans="1:11">
      <c r="A5" s="214" t="s">
        <v>1</v>
      </c>
      <c r="B5" s="215"/>
      <c r="C5" s="216" t="s">
        <v>351</v>
      </c>
      <c r="D5" s="217" t="s">
        <v>464</v>
      </c>
      <c r="E5" s="218" t="s">
        <v>864</v>
      </c>
      <c r="F5" s="194"/>
      <c r="G5" s="212"/>
      <c r="H5" s="201">
        <v>30</v>
      </c>
      <c r="I5" s="201"/>
      <c r="J5" s="201">
        <f t="shared" ref="J5:J36" si="0">(H5-I5)</f>
        <v>30</v>
      </c>
      <c r="K5" s="213"/>
    </row>
    <row r="6" spans="1:11">
      <c r="A6" s="219" t="s">
        <v>1</v>
      </c>
      <c r="B6" s="220"/>
      <c r="C6" s="221" t="s">
        <v>21</v>
      </c>
      <c r="D6" s="222" t="s">
        <v>465</v>
      </c>
      <c r="E6" s="223" t="s">
        <v>864</v>
      </c>
      <c r="F6" s="194"/>
      <c r="G6" s="199"/>
      <c r="H6" s="200">
        <v>4</v>
      </c>
      <c r="I6" s="200"/>
      <c r="J6" s="200">
        <f t="shared" si="0"/>
        <v>4</v>
      </c>
      <c r="K6" s="202"/>
    </row>
    <row r="7" spans="1:11">
      <c r="A7" s="219" t="s">
        <v>1</v>
      </c>
      <c r="B7" s="220"/>
      <c r="C7" s="221" t="s">
        <v>352</v>
      </c>
      <c r="D7" s="222" t="s">
        <v>1415</v>
      </c>
      <c r="E7" s="223" t="s">
        <v>864</v>
      </c>
      <c r="F7" s="194"/>
      <c r="G7" s="199"/>
      <c r="H7" s="200">
        <v>10</v>
      </c>
      <c r="I7" s="200"/>
      <c r="J7" s="200">
        <f t="shared" si="0"/>
        <v>10</v>
      </c>
      <c r="K7" s="202"/>
    </row>
    <row r="8" spans="1:11">
      <c r="A8" s="219" t="s">
        <v>1</v>
      </c>
      <c r="B8" s="220"/>
      <c r="C8" s="221" t="s">
        <v>353</v>
      </c>
      <c r="D8" s="222" t="s">
        <v>466</v>
      </c>
      <c r="E8" s="223" t="s">
        <v>864</v>
      </c>
      <c r="F8" s="194"/>
      <c r="G8" s="199"/>
      <c r="H8" s="200">
        <v>6</v>
      </c>
      <c r="I8" s="200"/>
      <c r="J8" s="200">
        <f t="shared" si="0"/>
        <v>6</v>
      </c>
      <c r="K8" s="202"/>
    </row>
    <row r="9" spans="1:11">
      <c r="A9" s="224" t="s">
        <v>1</v>
      </c>
      <c r="B9" s="225"/>
      <c r="C9" s="226" t="s">
        <v>354</v>
      </c>
      <c r="D9" s="227" t="s">
        <v>467</v>
      </c>
      <c r="E9" s="223" t="s">
        <v>864</v>
      </c>
      <c r="F9" s="3"/>
      <c r="G9" s="199"/>
      <c r="H9" s="200">
        <v>41.32</v>
      </c>
      <c r="I9" s="200"/>
      <c r="J9" s="200">
        <f t="shared" si="0"/>
        <v>41.32</v>
      </c>
      <c r="K9" s="202"/>
    </row>
    <row r="10" spans="1:11">
      <c r="A10" s="224" t="s">
        <v>1</v>
      </c>
      <c r="B10" s="220"/>
      <c r="C10" s="221" t="s">
        <v>355</v>
      </c>
      <c r="D10" s="222" t="s">
        <v>468</v>
      </c>
      <c r="E10" s="223" t="s">
        <v>864</v>
      </c>
      <c r="F10" s="194"/>
      <c r="G10" s="199"/>
      <c r="H10" s="200">
        <v>2</v>
      </c>
      <c r="I10" s="200"/>
      <c r="J10" s="200">
        <f t="shared" si="0"/>
        <v>2</v>
      </c>
      <c r="K10" s="202"/>
    </row>
    <row r="11" spans="1:11">
      <c r="A11" s="219" t="s">
        <v>1</v>
      </c>
      <c r="B11" s="220" t="s">
        <v>1416</v>
      </c>
      <c r="C11" s="221" t="s">
        <v>33</v>
      </c>
      <c r="D11" s="222" t="s">
        <v>568</v>
      </c>
      <c r="E11" s="223" t="s">
        <v>864</v>
      </c>
      <c r="F11" s="194"/>
      <c r="G11" s="199"/>
      <c r="H11" s="200">
        <v>10.9</v>
      </c>
      <c r="I11" s="200"/>
      <c r="J11" s="200">
        <f t="shared" si="0"/>
        <v>10.9</v>
      </c>
      <c r="K11" s="202"/>
    </row>
    <row r="12" spans="1:11">
      <c r="A12" s="224" t="s">
        <v>1</v>
      </c>
      <c r="B12" s="220"/>
      <c r="C12" s="221" t="s">
        <v>357</v>
      </c>
      <c r="D12" s="222" t="s">
        <v>469</v>
      </c>
      <c r="E12" s="223" t="s">
        <v>864</v>
      </c>
      <c r="F12" s="194"/>
      <c r="G12" s="199"/>
      <c r="H12" s="200">
        <v>38</v>
      </c>
      <c r="I12" s="200"/>
      <c r="J12" s="200">
        <f t="shared" si="0"/>
        <v>38</v>
      </c>
      <c r="K12" s="202"/>
    </row>
    <row r="13" spans="1:11">
      <c r="A13" s="224" t="s">
        <v>1</v>
      </c>
      <c r="B13" s="220"/>
      <c r="C13" s="221" t="s">
        <v>358</v>
      </c>
      <c r="D13" s="222" t="s">
        <v>470</v>
      </c>
      <c r="E13" s="223" t="s">
        <v>864</v>
      </c>
      <c r="F13" s="194"/>
      <c r="G13" s="199"/>
      <c r="H13" s="200">
        <v>18</v>
      </c>
      <c r="I13" s="200"/>
      <c r="J13" s="200">
        <f t="shared" si="0"/>
        <v>18</v>
      </c>
      <c r="K13" s="202"/>
    </row>
    <row r="14" spans="1:11">
      <c r="A14" s="224" t="s">
        <v>1</v>
      </c>
      <c r="B14" s="220"/>
      <c r="C14" s="221" t="s">
        <v>359</v>
      </c>
      <c r="D14" s="222" t="s">
        <v>1417</v>
      </c>
      <c r="E14" s="223" t="s">
        <v>864</v>
      </c>
      <c r="F14" s="194"/>
      <c r="G14" s="199"/>
      <c r="H14" s="200">
        <v>18</v>
      </c>
      <c r="I14" s="200"/>
      <c r="J14" s="200">
        <f t="shared" si="0"/>
        <v>18</v>
      </c>
      <c r="K14" s="202"/>
    </row>
    <row r="15" spans="1:11">
      <c r="A15" s="224" t="s">
        <v>1</v>
      </c>
      <c r="B15" s="220"/>
      <c r="C15" s="221" t="s">
        <v>360</v>
      </c>
      <c r="D15" s="222" t="s">
        <v>1418</v>
      </c>
      <c r="E15" s="223" t="s">
        <v>864</v>
      </c>
      <c r="F15" s="194"/>
      <c r="G15" s="199"/>
      <c r="H15" s="200">
        <v>15</v>
      </c>
      <c r="I15" s="200"/>
      <c r="J15" s="200">
        <f t="shared" si="0"/>
        <v>15</v>
      </c>
      <c r="K15" s="202"/>
    </row>
    <row r="16" spans="1:11">
      <c r="A16" s="224" t="s">
        <v>1</v>
      </c>
      <c r="B16" s="220"/>
      <c r="C16" s="221" t="s">
        <v>361</v>
      </c>
      <c r="D16" s="222" t="s">
        <v>1419</v>
      </c>
      <c r="E16" s="223" t="s">
        <v>864</v>
      </c>
      <c r="F16" s="194"/>
      <c r="G16" s="199"/>
      <c r="H16" s="200">
        <v>13</v>
      </c>
      <c r="I16" s="200"/>
      <c r="J16" s="200">
        <f t="shared" si="0"/>
        <v>13</v>
      </c>
      <c r="K16" s="202"/>
    </row>
    <row r="17" spans="1:11">
      <c r="A17" s="224" t="s">
        <v>1</v>
      </c>
      <c r="B17" s="220"/>
      <c r="C17" s="221" t="s">
        <v>362</v>
      </c>
      <c r="D17" s="222" t="s">
        <v>471</v>
      </c>
      <c r="E17" s="223" t="s">
        <v>864</v>
      </c>
      <c r="F17" s="194"/>
      <c r="G17" s="199"/>
      <c r="H17" s="200">
        <v>15</v>
      </c>
      <c r="I17" s="200"/>
      <c r="J17" s="200">
        <f t="shared" si="0"/>
        <v>15</v>
      </c>
      <c r="K17" s="202"/>
    </row>
    <row r="18" spans="1:11">
      <c r="A18" s="224" t="s">
        <v>1</v>
      </c>
      <c r="B18" s="220"/>
      <c r="C18" s="221" t="s">
        <v>363</v>
      </c>
      <c r="D18" s="222" t="s">
        <v>26</v>
      </c>
      <c r="E18" s="223" t="s">
        <v>864</v>
      </c>
      <c r="F18" s="194"/>
      <c r="G18" s="199"/>
      <c r="H18" s="200">
        <v>12</v>
      </c>
      <c r="I18" s="200"/>
      <c r="J18" s="200">
        <f t="shared" si="0"/>
        <v>12</v>
      </c>
      <c r="K18" s="202"/>
    </row>
    <row r="19" spans="1:11">
      <c r="A19" s="224" t="s">
        <v>1</v>
      </c>
      <c r="B19" s="220"/>
      <c r="C19" s="221" t="s">
        <v>364</v>
      </c>
      <c r="D19" s="222" t="s">
        <v>30</v>
      </c>
      <c r="E19" s="223" t="s">
        <v>864</v>
      </c>
      <c r="F19" s="194"/>
      <c r="G19" s="199"/>
      <c r="H19" s="200">
        <v>4</v>
      </c>
      <c r="I19" s="200"/>
      <c r="J19" s="200">
        <f t="shared" si="0"/>
        <v>4</v>
      </c>
      <c r="K19" s="202"/>
    </row>
    <row r="20" spans="1:11">
      <c r="A20" s="224" t="s">
        <v>1</v>
      </c>
      <c r="B20" s="220"/>
      <c r="C20" s="221" t="s">
        <v>365</v>
      </c>
      <c r="D20" s="222" t="s">
        <v>30</v>
      </c>
      <c r="E20" s="223" t="s">
        <v>864</v>
      </c>
      <c r="F20" s="194"/>
      <c r="G20" s="199"/>
      <c r="H20" s="200">
        <v>30</v>
      </c>
      <c r="I20" s="200"/>
      <c r="J20" s="200">
        <f t="shared" si="0"/>
        <v>30</v>
      </c>
      <c r="K20" s="202"/>
    </row>
    <row r="21" spans="1:11">
      <c r="A21" s="224" t="s">
        <v>1</v>
      </c>
      <c r="B21" s="220"/>
      <c r="C21" s="221" t="s">
        <v>366</v>
      </c>
      <c r="D21" s="222" t="s">
        <v>472</v>
      </c>
      <c r="E21" s="223" t="s">
        <v>864</v>
      </c>
      <c r="F21" s="194"/>
      <c r="G21" s="199"/>
      <c r="H21" s="200">
        <v>32.799999999999997</v>
      </c>
      <c r="I21" s="200"/>
      <c r="J21" s="200">
        <f t="shared" si="0"/>
        <v>32.799999999999997</v>
      </c>
      <c r="K21" s="202"/>
    </row>
    <row r="22" spans="1:11">
      <c r="A22" s="224" t="s">
        <v>1</v>
      </c>
      <c r="B22" s="220"/>
      <c r="C22" s="221" t="s">
        <v>369</v>
      </c>
      <c r="D22" s="222" t="s">
        <v>474</v>
      </c>
      <c r="E22" s="223" t="s">
        <v>864</v>
      </c>
      <c r="F22" s="194"/>
      <c r="G22" s="199"/>
      <c r="H22" s="200">
        <v>8</v>
      </c>
      <c r="I22" s="200"/>
      <c r="J22" s="200">
        <f t="shared" si="0"/>
        <v>8</v>
      </c>
      <c r="K22" s="202"/>
    </row>
    <row r="23" spans="1:11">
      <c r="A23" s="224" t="s">
        <v>1</v>
      </c>
      <c r="B23" s="225"/>
      <c r="C23" s="226" t="s">
        <v>370</v>
      </c>
      <c r="D23" s="227" t="s">
        <v>475</v>
      </c>
      <c r="E23" s="223" t="s">
        <v>864</v>
      </c>
      <c r="F23" s="3"/>
      <c r="G23" s="199"/>
      <c r="H23" s="200">
        <v>26.68</v>
      </c>
      <c r="I23" s="200"/>
      <c r="J23" s="200">
        <f t="shared" si="0"/>
        <v>26.68</v>
      </c>
      <c r="K23" s="202"/>
    </row>
    <row r="24" spans="1:11">
      <c r="A24" s="224" t="s">
        <v>1</v>
      </c>
      <c r="B24" s="220"/>
      <c r="C24" s="221" t="s">
        <v>371</v>
      </c>
      <c r="D24" s="222" t="s">
        <v>476</v>
      </c>
      <c r="E24" s="223" t="s">
        <v>864</v>
      </c>
      <c r="F24" s="194"/>
      <c r="G24" s="199"/>
      <c r="H24" s="200">
        <v>8</v>
      </c>
      <c r="I24" s="200"/>
      <c r="J24" s="200">
        <f t="shared" si="0"/>
        <v>8</v>
      </c>
      <c r="K24" s="202"/>
    </row>
    <row r="25" spans="1:11">
      <c r="A25" s="224" t="s">
        <v>1</v>
      </c>
      <c r="B25" s="220"/>
      <c r="C25" s="221" t="s">
        <v>372</v>
      </c>
      <c r="D25" s="222" t="s">
        <v>1420</v>
      </c>
      <c r="E25" s="223" t="s">
        <v>864</v>
      </c>
      <c r="F25" s="194"/>
      <c r="G25" s="199"/>
      <c r="H25" s="200">
        <v>20</v>
      </c>
      <c r="I25" s="200"/>
      <c r="J25" s="200">
        <f t="shared" si="0"/>
        <v>20</v>
      </c>
      <c r="K25" s="202"/>
    </row>
    <row r="26" spans="1:11">
      <c r="A26" s="224" t="s">
        <v>1</v>
      </c>
      <c r="B26" s="220"/>
      <c r="C26" s="221" t="s">
        <v>375</v>
      </c>
      <c r="D26" s="222" t="s">
        <v>479</v>
      </c>
      <c r="E26" s="223" t="s">
        <v>864</v>
      </c>
      <c r="F26" s="194"/>
      <c r="G26" s="199"/>
      <c r="H26" s="200">
        <v>18</v>
      </c>
      <c r="I26" s="200"/>
      <c r="J26" s="200">
        <f t="shared" si="0"/>
        <v>18</v>
      </c>
      <c r="K26" s="202"/>
    </row>
    <row r="27" spans="1:11">
      <c r="A27" s="224" t="s">
        <v>1</v>
      </c>
      <c r="B27" s="220"/>
      <c r="C27" s="221" t="s">
        <v>376</v>
      </c>
      <c r="D27" s="222" t="s">
        <v>480</v>
      </c>
      <c r="E27" s="223" t="s">
        <v>864</v>
      </c>
      <c r="F27" s="194"/>
      <c r="G27" s="199"/>
      <c r="H27" s="200">
        <v>5</v>
      </c>
      <c r="I27" s="200"/>
      <c r="J27" s="200">
        <f t="shared" si="0"/>
        <v>5</v>
      </c>
      <c r="K27" s="202"/>
    </row>
    <row r="28" spans="1:11">
      <c r="A28" s="224" t="s">
        <v>1</v>
      </c>
      <c r="B28" s="220" t="s">
        <v>1421</v>
      </c>
      <c r="C28" s="221" t="s">
        <v>377</v>
      </c>
      <c r="D28" s="222" t="s">
        <v>570</v>
      </c>
      <c r="E28" s="223" t="s">
        <v>864</v>
      </c>
      <c r="F28" s="194"/>
      <c r="G28" s="199"/>
      <c r="H28" s="200">
        <v>9</v>
      </c>
      <c r="I28" s="200"/>
      <c r="J28" s="200">
        <f t="shared" si="0"/>
        <v>9</v>
      </c>
      <c r="K28" s="202"/>
    </row>
    <row r="29" spans="1:11">
      <c r="A29" s="224" t="s">
        <v>1</v>
      </c>
      <c r="B29" s="220"/>
      <c r="C29" s="221" t="s">
        <v>379</v>
      </c>
      <c r="D29" s="222" t="s">
        <v>42</v>
      </c>
      <c r="E29" s="223" t="s">
        <v>864</v>
      </c>
      <c r="F29" s="194"/>
      <c r="G29" s="199"/>
      <c r="H29" s="200">
        <v>4</v>
      </c>
      <c r="I29" s="200"/>
      <c r="J29" s="200">
        <f t="shared" si="0"/>
        <v>4</v>
      </c>
      <c r="K29" s="202"/>
    </row>
    <row r="30" spans="1:11">
      <c r="A30" s="224" t="s">
        <v>1</v>
      </c>
      <c r="B30" s="220" t="s">
        <v>1422</v>
      </c>
      <c r="C30" s="221" t="s">
        <v>381</v>
      </c>
      <c r="D30" s="222" t="s">
        <v>571</v>
      </c>
      <c r="E30" s="223" t="s">
        <v>864</v>
      </c>
      <c r="F30" s="194"/>
      <c r="G30" s="199"/>
      <c r="H30" s="200">
        <v>10</v>
      </c>
      <c r="I30" s="200"/>
      <c r="J30" s="200">
        <f t="shared" si="0"/>
        <v>10</v>
      </c>
      <c r="K30" s="202"/>
    </row>
    <row r="31" spans="1:11">
      <c r="A31" s="224" t="s">
        <v>1</v>
      </c>
      <c r="B31" s="220" t="s">
        <v>1423</v>
      </c>
      <c r="C31" s="221" t="s">
        <v>383</v>
      </c>
      <c r="D31" s="222" t="s">
        <v>573</v>
      </c>
      <c r="E31" s="223" t="s">
        <v>864</v>
      </c>
      <c r="F31" s="194"/>
      <c r="G31" s="199"/>
      <c r="H31" s="200">
        <v>8.66</v>
      </c>
      <c r="I31" s="200"/>
      <c r="J31" s="200">
        <f t="shared" si="0"/>
        <v>8.66</v>
      </c>
      <c r="K31" s="202"/>
    </row>
    <row r="32" spans="1:11">
      <c r="A32" s="224" t="s">
        <v>1</v>
      </c>
      <c r="B32" s="220" t="s">
        <v>1424</v>
      </c>
      <c r="C32" s="221" t="s">
        <v>384</v>
      </c>
      <c r="D32" s="222" t="s">
        <v>1425</v>
      </c>
      <c r="E32" s="223" t="s">
        <v>864</v>
      </c>
      <c r="F32" s="194"/>
      <c r="G32" s="199"/>
      <c r="H32" s="200">
        <v>11</v>
      </c>
      <c r="I32" s="200">
        <v>5.22</v>
      </c>
      <c r="J32" s="200">
        <f t="shared" si="0"/>
        <v>5.78</v>
      </c>
      <c r="K32" s="202"/>
    </row>
    <row r="33" spans="1:11">
      <c r="A33" s="224" t="s">
        <v>1</v>
      </c>
      <c r="B33" s="220" t="s">
        <v>1426</v>
      </c>
      <c r="C33" s="221" t="s">
        <v>386</v>
      </c>
      <c r="D33" s="222" t="s">
        <v>575</v>
      </c>
      <c r="E33" s="223" t="s">
        <v>864</v>
      </c>
      <c r="F33" s="194"/>
      <c r="G33" s="199"/>
      <c r="H33" s="200">
        <v>35.83</v>
      </c>
      <c r="I33" s="200"/>
      <c r="J33" s="200">
        <f t="shared" si="0"/>
        <v>35.83</v>
      </c>
      <c r="K33" s="202"/>
    </row>
    <row r="34" spans="1:11">
      <c r="A34" s="224" t="s">
        <v>1</v>
      </c>
      <c r="B34" s="220" t="s">
        <v>1427</v>
      </c>
      <c r="C34" s="221" t="s">
        <v>387</v>
      </c>
      <c r="D34" s="222" t="s">
        <v>1428</v>
      </c>
      <c r="E34" s="223" t="s">
        <v>864</v>
      </c>
      <c r="F34" s="194"/>
      <c r="G34" s="199"/>
      <c r="H34" s="200">
        <v>20</v>
      </c>
      <c r="I34" s="200"/>
      <c r="J34" s="200">
        <f t="shared" si="0"/>
        <v>20</v>
      </c>
      <c r="K34" s="202"/>
    </row>
    <row r="35" spans="1:11">
      <c r="A35" s="224" t="s">
        <v>1</v>
      </c>
      <c r="B35" s="220" t="s">
        <v>1429</v>
      </c>
      <c r="C35" s="221" t="s">
        <v>388</v>
      </c>
      <c r="D35" s="222" t="s">
        <v>1430</v>
      </c>
      <c r="E35" s="223" t="s">
        <v>864</v>
      </c>
      <c r="F35" s="194"/>
      <c r="G35" s="199"/>
      <c r="H35" s="200">
        <v>23</v>
      </c>
      <c r="I35" s="200"/>
      <c r="J35" s="200">
        <f t="shared" si="0"/>
        <v>23</v>
      </c>
      <c r="K35" s="202"/>
    </row>
    <row r="36" spans="1:11">
      <c r="A36" s="224" t="s">
        <v>1</v>
      </c>
      <c r="B36" s="220" t="s">
        <v>1431</v>
      </c>
      <c r="C36" s="221" t="s">
        <v>389</v>
      </c>
      <c r="D36" s="222" t="s">
        <v>576</v>
      </c>
      <c r="E36" s="223" t="s">
        <v>864</v>
      </c>
      <c r="F36" s="194"/>
      <c r="G36" s="199"/>
      <c r="H36" s="200">
        <v>35</v>
      </c>
      <c r="I36" s="200"/>
      <c r="J36" s="200">
        <f t="shared" si="0"/>
        <v>35</v>
      </c>
      <c r="K36" s="202"/>
    </row>
    <row r="37" spans="1:11">
      <c r="A37" s="224" t="s">
        <v>1</v>
      </c>
      <c r="B37" s="220" t="s">
        <v>1432</v>
      </c>
      <c r="C37" s="221" t="s">
        <v>390</v>
      </c>
      <c r="D37" s="222" t="s">
        <v>577</v>
      </c>
      <c r="E37" s="223" t="s">
        <v>864</v>
      </c>
      <c r="F37" s="194"/>
      <c r="G37" s="199"/>
      <c r="H37" s="200">
        <v>36.479999999999997</v>
      </c>
      <c r="I37" s="200"/>
      <c r="J37" s="200">
        <f t="shared" ref="J37:J68" si="1">(H37-I37)</f>
        <v>36.479999999999997</v>
      </c>
      <c r="K37" s="202"/>
    </row>
    <row r="38" spans="1:11">
      <c r="A38" s="224" t="s">
        <v>1</v>
      </c>
      <c r="B38" s="220" t="s">
        <v>1433</v>
      </c>
      <c r="C38" s="221" t="s">
        <v>391</v>
      </c>
      <c r="D38" s="222" t="s">
        <v>1434</v>
      </c>
      <c r="E38" s="223" t="s">
        <v>864</v>
      </c>
      <c r="F38" s="194"/>
      <c r="G38" s="199"/>
      <c r="H38" s="200">
        <v>13.4</v>
      </c>
      <c r="I38" s="200"/>
      <c r="J38" s="200">
        <f t="shared" si="1"/>
        <v>13.4</v>
      </c>
      <c r="K38" s="202"/>
    </row>
    <row r="39" spans="1:11">
      <c r="A39" s="224" t="s">
        <v>1</v>
      </c>
      <c r="B39" s="220" t="s">
        <v>1435</v>
      </c>
      <c r="C39" s="221" t="s">
        <v>392</v>
      </c>
      <c r="D39" s="222" t="s">
        <v>1436</v>
      </c>
      <c r="E39" s="223" t="s">
        <v>864</v>
      </c>
      <c r="F39" s="194"/>
      <c r="G39" s="199"/>
      <c r="H39" s="200">
        <v>15.34</v>
      </c>
      <c r="I39" s="200"/>
      <c r="J39" s="200">
        <f t="shared" si="1"/>
        <v>15.34</v>
      </c>
      <c r="K39" s="202"/>
    </row>
    <row r="40" spans="1:11">
      <c r="A40" s="224" t="s">
        <v>1</v>
      </c>
      <c r="B40" s="220" t="s">
        <v>1437</v>
      </c>
      <c r="C40" s="221" t="s">
        <v>393</v>
      </c>
      <c r="D40" s="222" t="s">
        <v>1438</v>
      </c>
      <c r="E40" s="223" t="s">
        <v>864</v>
      </c>
      <c r="F40" s="194"/>
      <c r="G40" s="199"/>
      <c r="H40" s="200">
        <v>36.29</v>
      </c>
      <c r="I40" s="200"/>
      <c r="J40" s="200">
        <f t="shared" si="1"/>
        <v>36.29</v>
      </c>
      <c r="K40" s="202"/>
    </row>
    <row r="41" spans="1:11">
      <c r="A41" s="224" t="s">
        <v>1</v>
      </c>
      <c r="B41" s="220" t="s">
        <v>1439</v>
      </c>
      <c r="C41" s="221" t="s">
        <v>396</v>
      </c>
      <c r="D41" s="222" t="s">
        <v>580</v>
      </c>
      <c r="E41" s="223" t="s">
        <v>864</v>
      </c>
      <c r="F41" s="194"/>
      <c r="G41" s="199"/>
      <c r="H41" s="200">
        <v>18.68</v>
      </c>
      <c r="I41" s="200"/>
      <c r="J41" s="200">
        <f t="shared" si="1"/>
        <v>18.68</v>
      </c>
      <c r="K41" s="202"/>
    </row>
    <row r="42" spans="1:11">
      <c r="A42" s="224" t="s">
        <v>1</v>
      </c>
      <c r="B42" s="220" t="s">
        <v>1440</v>
      </c>
      <c r="C42" s="221" t="s">
        <v>397</v>
      </c>
      <c r="D42" s="222" t="s">
        <v>581</v>
      </c>
      <c r="E42" s="223" t="s">
        <v>864</v>
      </c>
      <c r="F42" s="194"/>
      <c r="G42" s="199"/>
      <c r="H42" s="200">
        <v>7</v>
      </c>
      <c r="I42" s="200"/>
      <c r="J42" s="200">
        <f t="shared" si="1"/>
        <v>7</v>
      </c>
      <c r="K42" s="202"/>
    </row>
    <row r="43" spans="1:11">
      <c r="A43" s="224" t="s">
        <v>1</v>
      </c>
      <c r="B43" s="220" t="s">
        <v>1441</v>
      </c>
      <c r="C43" s="221" t="s">
        <v>398</v>
      </c>
      <c r="D43" s="222" t="s">
        <v>584</v>
      </c>
      <c r="E43" s="223" t="s">
        <v>864</v>
      </c>
      <c r="F43" s="194"/>
      <c r="G43" s="199"/>
      <c r="H43" s="200">
        <v>25.97</v>
      </c>
      <c r="I43" s="200"/>
      <c r="J43" s="200">
        <f t="shared" si="1"/>
        <v>25.97</v>
      </c>
      <c r="K43" s="202"/>
    </row>
    <row r="44" spans="1:11">
      <c r="A44" s="219" t="s">
        <v>1</v>
      </c>
      <c r="B44" s="220" t="s">
        <v>1442</v>
      </c>
      <c r="C44" s="221" t="s">
        <v>36</v>
      </c>
      <c r="D44" s="222" t="s">
        <v>585</v>
      </c>
      <c r="E44" s="223" t="s">
        <v>864</v>
      </c>
      <c r="F44" s="194"/>
      <c r="G44" s="199"/>
      <c r="H44" s="200">
        <v>6</v>
      </c>
      <c r="I44" s="200"/>
      <c r="J44" s="200">
        <f t="shared" si="1"/>
        <v>6</v>
      </c>
      <c r="K44" s="202"/>
    </row>
    <row r="45" spans="1:11">
      <c r="A45" s="224" t="s">
        <v>1</v>
      </c>
      <c r="B45" s="220" t="s">
        <v>1443</v>
      </c>
      <c r="C45" s="221" t="s">
        <v>399</v>
      </c>
      <c r="D45" s="222" t="s">
        <v>586</v>
      </c>
      <c r="E45" s="223" t="s">
        <v>864</v>
      </c>
      <c r="F45" s="194"/>
      <c r="G45" s="199"/>
      <c r="H45" s="200">
        <v>33</v>
      </c>
      <c r="I45" s="200"/>
      <c r="J45" s="200">
        <f t="shared" si="1"/>
        <v>33</v>
      </c>
      <c r="K45" s="202"/>
    </row>
    <row r="46" spans="1:11">
      <c r="A46" s="224" t="s">
        <v>1</v>
      </c>
      <c r="B46" s="220" t="s">
        <v>1444</v>
      </c>
      <c r="C46" s="221" t="s">
        <v>401</v>
      </c>
      <c r="D46" s="222" t="s">
        <v>587</v>
      </c>
      <c r="E46" s="223" t="s">
        <v>864</v>
      </c>
      <c r="F46" s="194"/>
      <c r="G46" s="199"/>
      <c r="H46" s="200">
        <v>2.5</v>
      </c>
      <c r="I46" s="200"/>
      <c r="J46" s="200">
        <f t="shared" si="1"/>
        <v>2.5</v>
      </c>
      <c r="K46" s="202"/>
    </row>
    <row r="47" spans="1:11">
      <c r="A47" s="224" t="s">
        <v>1</v>
      </c>
      <c r="B47" s="220" t="s">
        <v>1445</v>
      </c>
      <c r="C47" s="221" t="s">
        <v>402</v>
      </c>
      <c r="D47" s="222" t="s">
        <v>588</v>
      </c>
      <c r="E47" s="223" t="s">
        <v>864</v>
      </c>
      <c r="F47" s="194"/>
      <c r="G47" s="199"/>
      <c r="H47" s="200">
        <v>87.5</v>
      </c>
      <c r="I47" s="200"/>
      <c r="J47" s="200">
        <f t="shared" si="1"/>
        <v>87.5</v>
      </c>
      <c r="K47" s="202"/>
    </row>
    <row r="48" spans="1:11">
      <c r="A48" s="224" t="s">
        <v>1</v>
      </c>
      <c r="B48" s="220" t="s">
        <v>1446</v>
      </c>
      <c r="C48" s="221" t="s">
        <v>403</v>
      </c>
      <c r="D48" s="222" t="s">
        <v>1447</v>
      </c>
      <c r="E48" s="223" t="s">
        <v>864</v>
      </c>
      <c r="F48" s="194"/>
      <c r="G48" s="199"/>
      <c r="H48" s="200">
        <v>35</v>
      </c>
      <c r="I48" s="200"/>
      <c r="J48" s="200">
        <f t="shared" si="1"/>
        <v>35</v>
      </c>
      <c r="K48" s="202"/>
    </row>
    <row r="49" spans="1:11">
      <c r="A49" s="224" t="s">
        <v>1</v>
      </c>
      <c r="B49" s="220" t="s">
        <v>1448</v>
      </c>
      <c r="C49" s="221" t="s">
        <v>405</v>
      </c>
      <c r="D49" s="222" t="s">
        <v>1449</v>
      </c>
      <c r="E49" s="223" t="s">
        <v>864</v>
      </c>
      <c r="F49" s="194"/>
      <c r="G49" s="199"/>
      <c r="H49" s="200">
        <v>36.29</v>
      </c>
      <c r="I49" s="200"/>
      <c r="J49" s="200">
        <f t="shared" si="1"/>
        <v>36.29</v>
      </c>
      <c r="K49" s="202"/>
    </row>
    <row r="50" spans="1:11">
      <c r="A50" s="224" t="s">
        <v>1</v>
      </c>
      <c r="B50" s="220" t="s">
        <v>1450</v>
      </c>
      <c r="C50" s="221" t="s">
        <v>406</v>
      </c>
      <c r="D50" s="222" t="s">
        <v>1451</v>
      </c>
      <c r="E50" s="223" t="s">
        <v>864</v>
      </c>
      <c r="F50" s="194"/>
      <c r="G50" s="199"/>
      <c r="H50" s="200">
        <v>50</v>
      </c>
      <c r="I50" s="200"/>
      <c r="J50" s="200">
        <f t="shared" si="1"/>
        <v>50</v>
      </c>
      <c r="K50" s="202"/>
    </row>
    <row r="51" spans="1:11">
      <c r="A51" s="224" t="s">
        <v>1</v>
      </c>
      <c r="B51" s="220" t="s">
        <v>1452</v>
      </c>
      <c r="C51" s="221" t="s">
        <v>408</v>
      </c>
      <c r="D51" s="222" t="s">
        <v>1453</v>
      </c>
      <c r="E51" s="223" t="s">
        <v>864</v>
      </c>
      <c r="F51" s="194"/>
      <c r="G51" s="199"/>
      <c r="H51" s="200">
        <v>19</v>
      </c>
      <c r="I51" s="200"/>
      <c r="J51" s="200">
        <f t="shared" si="1"/>
        <v>19</v>
      </c>
      <c r="K51" s="202"/>
    </row>
    <row r="52" spans="1:11">
      <c r="A52" s="224" t="s">
        <v>1</v>
      </c>
      <c r="B52" s="220" t="s">
        <v>1454</v>
      </c>
      <c r="C52" s="221" t="s">
        <v>409</v>
      </c>
      <c r="D52" s="222" t="s">
        <v>1455</v>
      </c>
      <c r="E52" s="223" t="s">
        <v>864</v>
      </c>
      <c r="F52" s="194"/>
      <c r="G52" s="199"/>
      <c r="H52" s="200">
        <v>4</v>
      </c>
      <c r="I52" s="200"/>
      <c r="J52" s="200">
        <f t="shared" si="1"/>
        <v>4</v>
      </c>
      <c r="K52" s="202"/>
    </row>
    <row r="53" spans="1:11">
      <c r="A53" s="219" t="s">
        <v>1</v>
      </c>
      <c r="B53" s="220" t="s">
        <v>1456</v>
      </c>
      <c r="C53" s="221" t="s">
        <v>35</v>
      </c>
      <c r="D53" s="222" t="s">
        <v>591</v>
      </c>
      <c r="E53" s="223" t="s">
        <v>864</v>
      </c>
      <c r="F53" s="194"/>
      <c r="G53" s="199"/>
      <c r="H53" s="200">
        <v>4.5600000000000023</v>
      </c>
      <c r="I53" s="200"/>
      <c r="J53" s="200">
        <f t="shared" si="1"/>
        <v>4.5600000000000023</v>
      </c>
      <c r="K53" s="202"/>
    </row>
    <row r="54" spans="1:11">
      <c r="A54" s="219" t="s">
        <v>1</v>
      </c>
      <c r="B54" s="220" t="s">
        <v>1457</v>
      </c>
      <c r="C54" s="221" t="s">
        <v>38</v>
      </c>
      <c r="D54" s="222" t="s">
        <v>592</v>
      </c>
      <c r="E54" s="223" t="s">
        <v>864</v>
      </c>
      <c r="F54" s="194"/>
      <c r="G54" s="199"/>
      <c r="H54" s="200">
        <v>5</v>
      </c>
      <c r="I54" s="200"/>
      <c r="J54" s="200">
        <f t="shared" si="1"/>
        <v>5</v>
      </c>
      <c r="K54" s="202"/>
    </row>
    <row r="55" spans="1:11">
      <c r="A55" s="224" t="s">
        <v>1</v>
      </c>
      <c r="B55" s="220" t="s">
        <v>1458</v>
      </c>
      <c r="C55" s="221" t="s">
        <v>411</v>
      </c>
      <c r="D55" s="222" t="s">
        <v>1459</v>
      </c>
      <c r="E55" s="223" t="s">
        <v>864</v>
      </c>
      <c r="F55" s="194"/>
      <c r="G55" s="199"/>
      <c r="H55" s="200">
        <v>26.72</v>
      </c>
      <c r="I55" s="200"/>
      <c r="J55" s="200">
        <f t="shared" si="1"/>
        <v>26.72</v>
      </c>
      <c r="K55" s="202"/>
    </row>
    <row r="56" spans="1:11">
      <c r="A56" s="224" t="s">
        <v>1</v>
      </c>
      <c r="B56" s="220" t="s">
        <v>1460</v>
      </c>
      <c r="C56" s="221" t="s">
        <v>412</v>
      </c>
      <c r="D56" s="222" t="s">
        <v>1461</v>
      </c>
      <c r="E56" s="223" t="s">
        <v>864</v>
      </c>
      <c r="F56" s="194"/>
      <c r="G56" s="199"/>
      <c r="H56" s="200">
        <v>26.8</v>
      </c>
      <c r="I56" s="200"/>
      <c r="J56" s="200">
        <f t="shared" si="1"/>
        <v>26.8</v>
      </c>
      <c r="K56" s="202"/>
    </row>
    <row r="57" spans="1:11">
      <c r="A57" s="224" t="s">
        <v>1</v>
      </c>
      <c r="B57" s="225" t="s">
        <v>1462</v>
      </c>
      <c r="C57" s="226" t="s">
        <v>344</v>
      </c>
      <c r="D57" s="227" t="s">
        <v>1463</v>
      </c>
      <c r="E57" s="223" t="s">
        <v>864</v>
      </c>
      <c r="F57" s="3"/>
      <c r="G57" s="199"/>
      <c r="H57" s="200">
        <v>24.299999999999997</v>
      </c>
      <c r="I57" s="200"/>
      <c r="J57" s="200">
        <f t="shared" si="1"/>
        <v>24.299999999999997</v>
      </c>
      <c r="K57" s="202"/>
    </row>
    <row r="58" spans="1:11">
      <c r="A58" s="224" t="s">
        <v>1</v>
      </c>
      <c r="B58" s="225" t="s">
        <v>1464</v>
      </c>
      <c r="C58" s="226" t="s">
        <v>413</v>
      </c>
      <c r="D58" s="227" t="s">
        <v>1465</v>
      </c>
      <c r="E58" s="223" t="s">
        <v>864</v>
      </c>
      <c r="F58" s="3"/>
      <c r="G58" s="199"/>
      <c r="H58" s="200">
        <v>4</v>
      </c>
      <c r="I58" s="200"/>
      <c r="J58" s="200">
        <f t="shared" si="1"/>
        <v>4</v>
      </c>
      <c r="K58" s="202"/>
    </row>
    <row r="59" spans="1:11">
      <c r="A59" s="224" t="s">
        <v>1</v>
      </c>
      <c r="B59" s="225" t="s">
        <v>1466</v>
      </c>
      <c r="C59" s="226" t="s">
        <v>414</v>
      </c>
      <c r="D59" s="227" t="s">
        <v>1467</v>
      </c>
      <c r="E59" s="223" t="s">
        <v>864</v>
      </c>
      <c r="F59" s="3"/>
      <c r="G59" s="199"/>
      <c r="H59" s="200">
        <v>27.240000000000002</v>
      </c>
      <c r="I59" s="200"/>
      <c r="J59" s="200">
        <f t="shared" si="1"/>
        <v>27.240000000000002</v>
      </c>
      <c r="K59" s="202"/>
    </row>
    <row r="60" spans="1:11">
      <c r="A60" s="224" t="s">
        <v>1</v>
      </c>
      <c r="B60" s="225" t="s">
        <v>1468</v>
      </c>
      <c r="C60" s="226" t="s">
        <v>46</v>
      </c>
      <c r="D60" s="227" t="s">
        <v>1469</v>
      </c>
      <c r="E60" s="223" t="s">
        <v>864</v>
      </c>
      <c r="F60" s="3"/>
      <c r="G60" s="199"/>
      <c r="H60" s="200">
        <v>4.3599999999999994</v>
      </c>
      <c r="I60" s="200"/>
      <c r="J60" s="200">
        <f t="shared" si="1"/>
        <v>4.3599999999999994</v>
      </c>
      <c r="K60" s="202"/>
    </row>
    <row r="61" spans="1:11">
      <c r="A61" s="224" t="s">
        <v>1</v>
      </c>
      <c r="B61" s="225" t="s">
        <v>1470</v>
      </c>
      <c r="C61" s="226" t="s">
        <v>415</v>
      </c>
      <c r="D61" s="227" t="s">
        <v>594</v>
      </c>
      <c r="E61" s="223" t="s">
        <v>864</v>
      </c>
      <c r="F61" s="3"/>
      <c r="G61" s="199"/>
      <c r="H61" s="200">
        <v>25</v>
      </c>
      <c r="I61" s="200"/>
      <c r="J61" s="200">
        <f t="shared" si="1"/>
        <v>25</v>
      </c>
      <c r="K61" s="202"/>
    </row>
    <row r="62" spans="1:11">
      <c r="A62" s="224" t="s">
        <v>1</v>
      </c>
      <c r="B62" s="220" t="s">
        <v>1471</v>
      </c>
      <c r="C62" s="221" t="s">
        <v>417</v>
      </c>
      <c r="D62" s="222" t="s">
        <v>1472</v>
      </c>
      <c r="E62" s="223" t="s">
        <v>864</v>
      </c>
      <c r="F62" s="194"/>
      <c r="G62" s="199"/>
      <c r="H62" s="200">
        <v>16</v>
      </c>
      <c r="I62" s="200"/>
      <c r="J62" s="200">
        <f t="shared" si="1"/>
        <v>16</v>
      </c>
      <c r="K62" s="202"/>
    </row>
    <row r="63" spans="1:11">
      <c r="A63" s="224" t="s">
        <v>1</v>
      </c>
      <c r="B63" s="220" t="s">
        <v>1473</v>
      </c>
      <c r="C63" s="221" t="s">
        <v>418</v>
      </c>
      <c r="D63" s="222" t="s">
        <v>1474</v>
      </c>
      <c r="E63" s="223" t="s">
        <v>864</v>
      </c>
      <c r="F63" s="194"/>
      <c r="G63" s="199"/>
      <c r="H63" s="200">
        <v>20.96</v>
      </c>
      <c r="I63" s="200"/>
      <c r="J63" s="200">
        <f t="shared" si="1"/>
        <v>20.96</v>
      </c>
      <c r="K63" s="202"/>
    </row>
    <row r="64" spans="1:11">
      <c r="A64" s="224" t="s">
        <v>1</v>
      </c>
      <c r="B64" s="220" t="s">
        <v>1475</v>
      </c>
      <c r="C64" s="221" t="s">
        <v>420</v>
      </c>
      <c r="D64" s="222" t="s">
        <v>1476</v>
      </c>
      <c r="E64" s="223" t="s">
        <v>864</v>
      </c>
      <c r="F64" s="194"/>
      <c r="G64" s="199"/>
      <c r="H64" s="200">
        <v>11</v>
      </c>
      <c r="I64" s="200"/>
      <c r="J64" s="200">
        <f t="shared" si="1"/>
        <v>11</v>
      </c>
      <c r="K64" s="202"/>
    </row>
    <row r="65" spans="1:11">
      <c r="A65" s="224" t="s">
        <v>1</v>
      </c>
      <c r="B65" s="220" t="s">
        <v>1477</v>
      </c>
      <c r="C65" s="221" t="s">
        <v>422</v>
      </c>
      <c r="D65" s="222" t="s">
        <v>597</v>
      </c>
      <c r="E65" s="223" t="s">
        <v>864</v>
      </c>
      <c r="F65" s="194"/>
      <c r="G65" s="199"/>
      <c r="H65" s="200">
        <v>24</v>
      </c>
      <c r="I65" s="200"/>
      <c r="J65" s="200">
        <f t="shared" si="1"/>
        <v>24</v>
      </c>
      <c r="K65" s="202"/>
    </row>
    <row r="66" spans="1:11">
      <c r="A66" s="224" t="s">
        <v>1</v>
      </c>
      <c r="B66" s="220" t="s">
        <v>1478</v>
      </c>
      <c r="C66" s="221" t="s">
        <v>423</v>
      </c>
      <c r="D66" s="222" t="s">
        <v>598</v>
      </c>
      <c r="E66" s="223" t="s">
        <v>864</v>
      </c>
      <c r="F66" s="194"/>
      <c r="G66" s="199"/>
      <c r="H66" s="200">
        <v>5</v>
      </c>
      <c r="I66" s="200"/>
      <c r="J66" s="200">
        <f t="shared" si="1"/>
        <v>5</v>
      </c>
      <c r="K66" s="202"/>
    </row>
    <row r="67" spans="1:11">
      <c r="A67" s="224" t="s">
        <v>1</v>
      </c>
      <c r="B67" s="220" t="s">
        <v>1479</v>
      </c>
      <c r="C67" s="221" t="s">
        <v>424</v>
      </c>
      <c r="D67" s="222" t="s">
        <v>1480</v>
      </c>
      <c r="E67" s="223" t="s">
        <v>864</v>
      </c>
      <c r="F67" s="194"/>
      <c r="G67" s="199"/>
      <c r="H67" s="200">
        <v>6.5</v>
      </c>
      <c r="I67" s="200"/>
      <c r="J67" s="200">
        <f t="shared" si="1"/>
        <v>6.5</v>
      </c>
      <c r="K67" s="202"/>
    </row>
    <row r="68" spans="1:11">
      <c r="A68" s="224" t="s">
        <v>1</v>
      </c>
      <c r="B68" s="220" t="s">
        <v>1481</v>
      </c>
      <c r="C68" s="221" t="s">
        <v>425</v>
      </c>
      <c r="D68" s="222" t="s">
        <v>1482</v>
      </c>
      <c r="E68" s="223" t="s">
        <v>864</v>
      </c>
      <c r="F68" s="194"/>
      <c r="G68" s="199"/>
      <c r="H68" s="200">
        <v>3</v>
      </c>
      <c r="I68" s="200"/>
      <c r="J68" s="200">
        <f t="shared" si="1"/>
        <v>3</v>
      </c>
      <c r="K68" s="202"/>
    </row>
    <row r="69" spans="1:11">
      <c r="A69" s="224" t="s">
        <v>1</v>
      </c>
      <c r="B69" s="220" t="s">
        <v>1483</v>
      </c>
      <c r="C69" s="221" t="s">
        <v>426</v>
      </c>
      <c r="D69" s="222" t="s">
        <v>599</v>
      </c>
      <c r="E69" s="223" t="s">
        <v>864</v>
      </c>
      <c r="F69" s="194"/>
      <c r="G69" s="199"/>
      <c r="H69" s="200">
        <v>56.64</v>
      </c>
      <c r="I69" s="200"/>
      <c r="J69" s="200">
        <f t="shared" ref="J69:J100" si="2">(H69-I69)</f>
        <v>56.64</v>
      </c>
      <c r="K69" s="202"/>
    </row>
    <row r="70" spans="1:11">
      <c r="A70" s="224" t="s">
        <v>1</v>
      </c>
      <c r="B70" s="225" t="s">
        <v>1484</v>
      </c>
      <c r="C70" s="226" t="s">
        <v>427</v>
      </c>
      <c r="D70" s="227" t="s">
        <v>1485</v>
      </c>
      <c r="E70" s="223" t="s">
        <v>864</v>
      </c>
      <c r="F70" s="3"/>
      <c r="G70" s="199"/>
      <c r="H70" s="200">
        <v>14</v>
      </c>
      <c r="I70" s="200"/>
      <c r="J70" s="200">
        <f t="shared" si="2"/>
        <v>14</v>
      </c>
      <c r="K70" s="202"/>
    </row>
    <row r="71" spans="1:11">
      <c r="A71" s="224" t="s">
        <v>1</v>
      </c>
      <c r="B71" s="225" t="s">
        <v>1486</v>
      </c>
      <c r="C71" s="226" t="s">
        <v>428</v>
      </c>
      <c r="D71" s="227" t="s">
        <v>600</v>
      </c>
      <c r="E71" s="223" t="s">
        <v>864</v>
      </c>
      <c r="F71" s="3"/>
      <c r="G71" s="199"/>
      <c r="H71" s="200">
        <v>5</v>
      </c>
      <c r="I71" s="200"/>
      <c r="J71" s="200">
        <f t="shared" si="2"/>
        <v>5</v>
      </c>
      <c r="K71" s="202"/>
    </row>
    <row r="72" spans="1:11">
      <c r="A72" s="224" t="s">
        <v>1</v>
      </c>
      <c r="B72" s="220" t="s">
        <v>1487</v>
      </c>
      <c r="C72" s="221" t="s">
        <v>430</v>
      </c>
      <c r="D72" s="222" t="s">
        <v>601</v>
      </c>
      <c r="E72" s="223" t="s">
        <v>864</v>
      </c>
      <c r="F72" s="194"/>
      <c r="G72" s="199"/>
      <c r="H72" s="200">
        <v>52.6</v>
      </c>
      <c r="I72" s="200"/>
      <c r="J72" s="200">
        <f t="shared" si="2"/>
        <v>52.6</v>
      </c>
      <c r="K72" s="202"/>
    </row>
    <row r="73" spans="1:11">
      <c r="A73" s="224" t="s">
        <v>1</v>
      </c>
      <c r="B73" s="220" t="s">
        <v>1488</v>
      </c>
      <c r="C73" s="221" t="s">
        <v>431</v>
      </c>
      <c r="D73" s="222" t="s">
        <v>1489</v>
      </c>
      <c r="E73" s="223" t="s">
        <v>864</v>
      </c>
      <c r="F73" s="194"/>
      <c r="G73" s="199"/>
      <c r="H73" s="200">
        <v>7</v>
      </c>
      <c r="I73" s="200"/>
      <c r="J73" s="200">
        <f t="shared" si="2"/>
        <v>7</v>
      </c>
      <c r="K73" s="202"/>
    </row>
    <row r="74" spans="1:11">
      <c r="A74" s="224" t="s">
        <v>1</v>
      </c>
      <c r="B74" s="220" t="s">
        <v>1490</v>
      </c>
      <c r="C74" s="221" t="s">
        <v>432</v>
      </c>
      <c r="D74" s="222" t="s">
        <v>1491</v>
      </c>
      <c r="E74" s="223" t="s">
        <v>864</v>
      </c>
      <c r="F74" s="194"/>
      <c r="G74" s="199"/>
      <c r="H74" s="200">
        <v>7</v>
      </c>
      <c r="I74" s="200"/>
      <c r="J74" s="200">
        <f t="shared" si="2"/>
        <v>7</v>
      </c>
      <c r="K74" s="202"/>
    </row>
    <row r="75" spans="1:11">
      <c r="A75" s="224" t="s">
        <v>1</v>
      </c>
      <c r="B75" s="220" t="s">
        <v>1492</v>
      </c>
      <c r="C75" s="221" t="s">
        <v>433</v>
      </c>
      <c r="D75" s="222" t="s">
        <v>602</v>
      </c>
      <c r="E75" s="223" t="s">
        <v>864</v>
      </c>
      <c r="F75" s="194"/>
      <c r="G75" s="199"/>
      <c r="H75" s="200">
        <v>3</v>
      </c>
      <c r="I75" s="200"/>
      <c r="J75" s="200">
        <f t="shared" si="2"/>
        <v>3</v>
      </c>
      <c r="K75" s="202"/>
    </row>
    <row r="76" spans="1:11">
      <c r="A76" s="224" t="s">
        <v>1</v>
      </c>
      <c r="B76" s="220"/>
      <c r="C76" s="221" t="s">
        <v>434</v>
      </c>
      <c r="D76" s="222" t="s">
        <v>482</v>
      </c>
      <c r="E76" s="223" t="s">
        <v>864</v>
      </c>
      <c r="F76" s="194"/>
      <c r="G76" s="199"/>
      <c r="H76" s="200">
        <v>3</v>
      </c>
      <c r="I76" s="200"/>
      <c r="J76" s="200">
        <f t="shared" si="2"/>
        <v>3</v>
      </c>
      <c r="K76" s="202"/>
    </row>
    <row r="77" spans="1:11">
      <c r="A77" s="224" t="s">
        <v>1</v>
      </c>
      <c r="B77" s="220"/>
      <c r="C77" s="221" t="s">
        <v>437</v>
      </c>
      <c r="D77" s="222" t="s">
        <v>483</v>
      </c>
      <c r="E77" s="223" t="s">
        <v>864</v>
      </c>
      <c r="F77" s="194"/>
      <c r="G77" s="199"/>
      <c r="H77" s="200">
        <v>8</v>
      </c>
      <c r="I77" s="200"/>
      <c r="J77" s="200">
        <f t="shared" si="2"/>
        <v>8</v>
      </c>
      <c r="K77" s="202"/>
    </row>
    <row r="78" spans="1:11">
      <c r="A78" s="224" t="s">
        <v>1</v>
      </c>
      <c r="B78" s="220"/>
      <c r="C78" s="221" t="s">
        <v>438</v>
      </c>
      <c r="D78" s="222" t="s">
        <v>484</v>
      </c>
      <c r="E78" s="223" t="s">
        <v>864</v>
      </c>
      <c r="F78" s="194"/>
      <c r="G78" s="199"/>
      <c r="H78" s="200">
        <v>5</v>
      </c>
      <c r="I78" s="200"/>
      <c r="J78" s="200">
        <f t="shared" si="2"/>
        <v>5</v>
      </c>
      <c r="K78" s="202"/>
    </row>
    <row r="79" spans="1:11">
      <c r="A79" s="224" t="s">
        <v>1</v>
      </c>
      <c r="B79" s="220"/>
      <c r="C79" s="221" t="s">
        <v>439</v>
      </c>
      <c r="D79" s="222" t="s">
        <v>44</v>
      </c>
      <c r="E79" s="223" t="s">
        <v>864</v>
      </c>
      <c r="F79" s="194"/>
      <c r="G79" s="199"/>
      <c r="H79" s="200">
        <v>2</v>
      </c>
      <c r="I79" s="200"/>
      <c r="J79" s="200">
        <f t="shared" si="2"/>
        <v>2</v>
      </c>
      <c r="K79" s="202"/>
    </row>
    <row r="80" spans="1:11">
      <c r="A80" s="224" t="s">
        <v>1</v>
      </c>
      <c r="B80" s="220"/>
      <c r="C80" s="221" t="s">
        <v>440</v>
      </c>
      <c r="D80" s="222" t="s">
        <v>43</v>
      </c>
      <c r="E80" s="223" t="s">
        <v>864</v>
      </c>
      <c r="F80" s="194"/>
      <c r="G80" s="199"/>
      <c r="H80" s="200">
        <v>2</v>
      </c>
      <c r="I80" s="200"/>
      <c r="J80" s="200">
        <f t="shared" si="2"/>
        <v>2</v>
      </c>
      <c r="K80" s="202"/>
    </row>
    <row r="81" spans="1:11">
      <c r="A81" s="224" t="s">
        <v>1</v>
      </c>
      <c r="B81" s="220" t="s">
        <v>1493</v>
      </c>
      <c r="C81" s="221" t="s">
        <v>441</v>
      </c>
      <c r="D81" s="222" t="s">
        <v>605</v>
      </c>
      <c r="E81" s="223" t="s">
        <v>864</v>
      </c>
      <c r="F81" s="194"/>
      <c r="G81" s="199"/>
      <c r="H81" s="200">
        <v>5</v>
      </c>
      <c r="I81" s="200"/>
      <c r="J81" s="200">
        <f t="shared" si="2"/>
        <v>5</v>
      </c>
      <c r="K81" s="202"/>
    </row>
    <row r="82" spans="1:11">
      <c r="A82" s="224" t="s">
        <v>1</v>
      </c>
      <c r="B82" s="220"/>
      <c r="C82" s="221" t="s">
        <v>442</v>
      </c>
      <c r="D82" s="222" t="s">
        <v>485</v>
      </c>
      <c r="E82" s="223" t="s">
        <v>864</v>
      </c>
      <c r="F82" s="194"/>
      <c r="G82" s="199"/>
      <c r="H82" s="200">
        <v>26</v>
      </c>
      <c r="I82" s="200"/>
      <c r="J82" s="200">
        <f t="shared" si="2"/>
        <v>26</v>
      </c>
      <c r="K82" s="202"/>
    </row>
    <row r="83" spans="1:11">
      <c r="A83" s="219" t="s">
        <v>1</v>
      </c>
      <c r="B83" s="220" t="s">
        <v>1494</v>
      </c>
      <c r="C83" s="221" t="s">
        <v>31</v>
      </c>
      <c r="D83" s="222" t="s">
        <v>607</v>
      </c>
      <c r="E83" s="223" t="s">
        <v>864</v>
      </c>
      <c r="F83" s="194"/>
      <c r="G83" s="199"/>
      <c r="H83" s="200">
        <v>16</v>
      </c>
      <c r="I83" s="200"/>
      <c r="J83" s="200">
        <f t="shared" si="2"/>
        <v>16</v>
      </c>
      <c r="K83" s="202"/>
    </row>
    <row r="84" spans="1:11">
      <c r="A84" s="224" t="s">
        <v>1</v>
      </c>
      <c r="B84" s="220" t="s">
        <v>1495</v>
      </c>
      <c r="C84" s="221" t="s">
        <v>444</v>
      </c>
      <c r="D84" s="222" t="s">
        <v>608</v>
      </c>
      <c r="E84" s="223" t="s">
        <v>864</v>
      </c>
      <c r="F84" s="194"/>
      <c r="G84" s="199"/>
      <c r="H84" s="200">
        <v>9</v>
      </c>
      <c r="I84" s="200"/>
      <c r="J84" s="200">
        <f t="shared" si="2"/>
        <v>9</v>
      </c>
      <c r="K84" s="202"/>
    </row>
    <row r="85" spans="1:11">
      <c r="A85" s="224" t="s">
        <v>1</v>
      </c>
      <c r="B85" s="220" t="s">
        <v>1496</v>
      </c>
      <c r="C85" s="221" t="s">
        <v>445</v>
      </c>
      <c r="D85" s="222" t="s">
        <v>609</v>
      </c>
      <c r="E85" s="223" t="s">
        <v>864</v>
      </c>
      <c r="F85" s="194"/>
      <c r="G85" s="199"/>
      <c r="H85" s="200">
        <v>20</v>
      </c>
      <c r="I85" s="200"/>
      <c r="J85" s="200">
        <f t="shared" si="2"/>
        <v>20</v>
      </c>
      <c r="K85" s="202"/>
    </row>
    <row r="86" spans="1:11">
      <c r="A86" s="224" t="s">
        <v>1</v>
      </c>
      <c r="B86" s="220" t="s">
        <v>1497</v>
      </c>
      <c r="C86" s="221" t="s">
        <v>446</v>
      </c>
      <c r="D86" s="222" t="s">
        <v>610</v>
      </c>
      <c r="E86" s="223" t="s">
        <v>864</v>
      </c>
      <c r="F86" s="194"/>
      <c r="G86" s="199"/>
      <c r="H86" s="200">
        <v>6</v>
      </c>
      <c r="I86" s="200"/>
      <c r="J86" s="200">
        <f t="shared" si="2"/>
        <v>6</v>
      </c>
      <c r="K86" s="202"/>
    </row>
    <row r="87" spans="1:11">
      <c r="A87" s="224" t="s">
        <v>1</v>
      </c>
      <c r="B87" s="220" t="s">
        <v>1498</v>
      </c>
      <c r="C87" s="221" t="s">
        <v>447</v>
      </c>
      <c r="D87" s="222" t="s">
        <v>611</v>
      </c>
      <c r="E87" s="223" t="s">
        <v>864</v>
      </c>
      <c r="F87" s="194"/>
      <c r="G87" s="199"/>
      <c r="H87" s="200">
        <v>3</v>
      </c>
      <c r="I87" s="200"/>
      <c r="J87" s="200">
        <f t="shared" si="2"/>
        <v>3</v>
      </c>
      <c r="K87" s="202"/>
    </row>
    <row r="88" spans="1:11">
      <c r="A88" s="224" t="s">
        <v>1</v>
      </c>
      <c r="B88" s="220" t="s">
        <v>1499</v>
      </c>
      <c r="C88" s="221" t="s">
        <v>449</v>
      </c>
      <c r="D88" s="222" t="s">
        <v>613</v>
      </c>
      <c r="E88" s="223" t="s">
        <v>864</v>
      </c>
      <c r="F88" s="194"/>
      <c r="G88" s="199"/>
      <c r="H88" s="200">
        <v>3</v>
      </c>
      <c r="I88" s="200"/>
      <c r="J88" s="200">
        <f t="shared" si="2"/>
        <v>3</v>
      </c>
      <c r="K88" s="202"/>
    </row>
    <row r="89" spans="1:11">
      <c r="A89" s="224" t="s">
        <v>1</v>
      </c>
      <c r="B89" s="220" t="s">
        <v>1500</v>
      </c>
      <c r="C89" s="221" t="s">
        <v>450</v>
      </c>
      <c r="D89" s="222" t="s">
        <v>614</v>
      </c>
      <c r="E89" s="223" t="s">
        <v>864</v>
      </c>
      <c r="F89" s="194"/>
      <c r="G89" s="199"/>
      <c r="H89" s="200">
        <v>14</v>
      </c>
      <c r="I89" s="200"/>
      <c r="J89" s="200">
        <f t="shared" si="2"/>
        <v>14</v>
      </c>
      <c r="K89" s="202"/>
    </row>
    <row r="90" spans="1:11">
      <c r="A90" s="224" t="s">
        <v>1</v>
      </c>
      <c r="B90" s="220" t="s">
        <v>1501</v>
      </c>
      <c r="C90" s="221" t="s">
        <v>451</v>
      </c>
      <c r="D90" s="222" t="s">
        <v>1502</v>
      </c>
      <c r="E90" s="223" t="s">
        <v>864</v>
      </c>
      <c r="F90" s="194"/>
      <c r="G90" s="199"/>
      <c r="H90" s="200">
        <v>9.5</v>
      </c>
      <c r="I90" s="200"/>
      <c r="J90" s="200">
        <f t="shared" si="2"/>
        <v>9.5</v>
      </c>
      <c r="K90" s="202"/>
    </row>
    <row r="91" spans="1:11">
      <c r="A91" s="224" t="s">
        <v>1</v>
      </c>
      <c r="B91" s="220" t="s">
        <v>1503</v>
      </c>
      <c r="C91" s="221" t="s">
        <v>452</v>
      </c>
      <c r="D91" s="222" t="s">
        <v>615</v>
      </c>
      <c r="E91" s="223" t="s">
        <v>864</v>
      </c>
      <c r="F91" s="194"/>
      <c r="G91" s="199"/>
      <c r="H91" s="200">
        <v>15</v>
      </c>
      <c r="I91" s="200"/>
      <c r="J91" s="200">
        <f t="shared" si="2"/>
        <v>15</v>
      </c>
      <c r="K91" s="202"/>
    </row>
    <row r="92" spans="1:11">
      <c r="A92" s="224" t="s">
        <v>1</v>
      </c>
      <c r="B92" s="220" t="s">
        <v>1504</v>
      </c>
      <c r="C92" s="221" t="s">
        <v>454</v>
      </c>
      <c r="D92" s="222" t="s">
        <v>617</v>
      </c>
      <c r="E92" s="223" t="s">
        <v>864</v>
      </c>
      <c r="F92" s="194"/>
      <c r="G92" s="199"/>
      <c r="H92" s="200">
        <v>9</v>
      </c>
      <c r="I92" s="200"/>
      <c r="J92" s="200">
        <f t="shared" si="2"/>
        <v>9</v>
      </c>
      <c r="K92" s="202"/>
    </row>
    <row r="93" spans="1:11">
      <c r="A93" s="224" t="s">
        <v>1</v>
      </c>
      <c r="B93" s="220" t="s">
        <v>1505</v>
      </c>
      <c r="C93" s="221" t="s">
        <v>455</v>
      </c>
      <c r="D93" s="222" t="s">
        <v>619</v>
      </c>
      <c r="E93" s="223" t="s">
        <v>864</v>
      </c>
      <c r="F93" s="194"/>
      <c r="G93" s="199"/>
      <c r="H93" s="200">
        <v>3</v>
      </c>
      <c r="I93" s="200"/>
      <c r="J93" s="200">
        <f t="shared" si="2"/>
        <v>3</v>
      </c>
      <c r="K93" s="202"/>
    </row>
    <row r="94" spans="1:11">
      <c r="A94" s="224" t="s">
        <v>1</v>
      </c>
      <c r="B94" s="220" t="s">
        <v>1506</v>
      </c>
      <c r="C94" s="221" t="s">
        <v>458</v>
      </c>
      <c r="D94" s="222" t="s">
        <v>622</v>
      </c>
      <c r="E94" s="223" t="s">
        <v>864</v>
      </c>
      <c r="F94" s="194"/>
      <c r="G94" s="199"/>
      <c r="H94" s="200">
        <v>8</v>
      </c>
      <c r="I94" s="200"/>
      <c r="J94" s="200">
        <f t="shared" si="2"/>
        <v>8</v>
      </c>
      <c r="K94" s="202"/>
    </row>
    <row r="95" spans="1:11">
      <c r="A95" s="224" t="s">
        <v>1</v>
      </c>
      <c r="B95" s="220" t="s">
        <v>1507</v>
      </c>
      <c r="C95" s="221" t="s">
        <v>459</v>
      </c>
      <c r="D95" s="222" t="s">
        <v>623</v>
      </c>
      <c r="E95" s="223" t="s">
        <v>864</v>
      </c>
      <c r="F95" s="194"/>
      <c r="G95" s="199"/>
      <c r="H95" s="200">
        <v>19.001999999999999</v>
      </c>
      <c r="I95" s="200"/>
      <c r="J95" s="200">
        <f t="shared" si="2"/>
        <v>19.001999999999999</v>
      </c>
      <c r="K95" s="202"/>
    </row>
    <row r="96" spans="1:11">
      <c r="A96" s="224" t="s">
        <v>1</v>
      </c>
      <c r="B96" s="220" t="s">
        <v>1508</v>
      </c>
      <c r="C96" s="221" t="s">
        <v>460</v>
      </c>
      <c r="D96" s="222" t="s">
        <v>624</v>
      </c>
      <c r="E96" s="223" t="s">
        <v>864</v>
      </c>
      <c r="F96" s="194"/>
      <c r="G96" s="199"/>
      <c r="H96" s="200">
        <v>5.76</v>
      </c>
      <c r="I96" s="200"/>
      <c r="J96" s="200">
        <f t="shared" si="2"/>
        <v>5.76</v>
      </c>
      <c r="K96" s="202"/>
    </row>
    <row r="97" spans="1:11">
      <c r="A97" s="224" t="s">
        <v>1</v>
      </c>
      <c r="B97" s="220" t="s">
        <v>1509</v>
      </c>
      <c r="C97" s="221" t="s">
        <v>461</v>
      </c>
      <c r="D97" s="222" t="s">
        <v>625</v>
      </c>
      <c r="E97" s="223" t="s">
        <v>864</v>
      </c>
      <c r="F97" s="194"/>
      <c r="G97" s="199"/>
      <c r="H97" s="200">
        <v>16.25</v>
      </c>
      <c r="I97" s="200"/>
      <c r="J97" s="200">
        <f t="shared" si="2"/>
        <v>16.25</v>
      </c>
      <c r="K97" s="202"/>
    </row>
    <row r="98" spans="1:11">
      <c r="A98" s="224" t="s">
        <v>1</v>
      </c>
      <c r="B98" s="220" t="s">
        <v>267</v>
      </c>
      <c r="C98" s="221" t="s">
        <v>462</v>
      </c>
      <c r="D98" s="222" t="s">
        <v>626</v>
      </c>
      <c r="E98" s="223" t="s">
        <v>864</v>
      </c>
      <c r="F98" s="194"/>
      <c r="G98" s="199"/>
      <c r="H98" s="200">
        <v>10</v>
      </c>
      <c r="I98" s="200"/>
      <c r="J98" s="200">
        <f t="shared" si="2"/>
        <v>10</v>
      </c>
      <c r="K98" s="202"/>
    </row>
    <row r="99" spans="1:11">
      <c r="A99" s="224" t="s">
        <v>1</v>
      </c>
      <c r="B99" s="220" t="s">
        <v>1510</v>
      </c>
      <c r="C99" s="221" t="s">
        <v>463</v>
      </c>
      <c r="D99" s="222" t="s">
        <v>627</v>
      </c>
      <c r="E99" s="223" t="s">
        <v>864</v>
      </c>
      <c r="F99" s="194"/>
      <c r="G99" s="199"/>
      <c r="H99" s="200">
        <v>2.84</v>
      </c>
      <c r="I99" s="200"/>
      <c r="J99" s="200">
        <f t="shared" si="2"/>
        <v>2.84</v>
      </c>
      <c r="K99" s="202"/>
    </row>
    <row r="100" spans="1:11">
      <c r="A100" s="224" t="s">
        <v>1</v>
      </c>
      <c r="B100" s="225" t="s">
        <v>1511</v>
      </c>
      <c r="C100" s="226" t="s">
        <v>490</v>
      </c>
      <c r="D100" s="227" t="s">
        <v>633</v>
      </c>
      <c r="E100" s="223" t="s">
        <v>864</v>
      </c>
      <c r="F100" s="194"/>
      <c r="G100" s="199"/>
      <c r="H100" s="200">
        <v>26.700000000000003</v>
      </c>
      <c r="I100" s="200"/>
      <c r="J100" s="200">
        <f t="shared" si="2"/>
        <v>26.700000000000003</v>
      </c>
      <c r="K100" s="202"/>
    </row>
    <row r="101" spans="1:11">
      <c r="A101" s="224" t="s">
        <v>1</v>
      </c>
      <c r="B101" s="225" t="s">
        <v>1512</v>
      </c>
      <c r="C101" s="226" t="s">
        <v>491</v>
      </c>
      <c r="D101" s="227" t="s">
        <v>634</v>
      </c>
      <c r="E101" s="223" t="s">
        <v>864</v>
      </c>
      <c r="F101" s="194"/>
      <c r="G101" s="199"/>
      <c r="H101" s="200">
        <v>23</v>
      </c>
      <c r="I101" s="200"/>
      <c r="J101" s="200">
        <f t="shared" ref="J101:J132" si="3">(H101-I101)</f>
        <v>23</v>
      </c>
      <c r="K101" s="202"/>
    </row>
    <row r="102" spans="1:11">
      <c r="A102" s="224" t="s">
        <v>1</v>
      </c>
      <c r="B102" s="225" t="s">
        <v>1513</v>
      </c>
      <c r="C102" s="226" t="s">
        <v>492</v>
      </c>
      <c r="D102" s="227" t="s">
        <v>635</v>
      </c>
      <c r="E102" s="223" t="s">
        <v>864</v>
      </c>
      <c r="F102" s="194"/>
      <c r="G102" s="199"/>
      <c r="H102" s="200">
        <v>18</v>
      </c>
      <c r="I102" s="200"/>
      <c r="J102" s="200">
        <f t="shared" si="3"/>
        <v>18</v>
      </c>
      <c r="K102" s="202"/>
    </row>
    <row r="103" spans="1:11">
      <c r="A103" s="224" t="s">
        <v>1</v>
      </c>
      <c r="B103" s="225" t="s">
        <v>1514</v>
      </c>
      <c r="C103" s="226" t="s">
        <v>494</v>
      </c>
      <c r="D103" s="227" t="s">
        <v>637</v>
      </c>
      <c r="E103" s="223" t="s">
        <v>864</v>
      </c>
      <c r="F103" s="194"/>
      <c r="G103" s="199"/>
      <c r="H103" s="200">
        <v>5</v>
      </c>
      <c r="I103" s="200"/>
      <c r="J103" s="200">
        <f t="shared" si="3"/>
        <v>5</v>
      </c>
      <c r="K103" s="202"/>
    </row>
    <row r="104" spans="1:11">
      <c r="A104" s="224" t="s">
        <v>1</v>
      </c>
      <c r="B104" s="225" t="s">
        <v>1515</v>
      </c>
      <c r="C104" s="226" t="s">
        <v>495</v>
      </c>
      <c r="D104" s="227" t="s">
        <v>638</v>
      </c>
      <c r="E104" s="223" t="s">
        <v>864</v>
      </c>
      <c r="F104" s="194"/>
      <c r="G104" s="199"/>
      <c r="H104" s="200">
        <v>19</v>
      </c>
      <c r="I104" s="200"/>
      <c r="J104" s="200">
        <f t="shared" si="3"/>
        <v>19</v>
      </c>
      <c r="K104" s="202"/>
    </row>
    <row r="105" spans="1:11">
      <c r="A105" s="224" t="s">
        <v>1</v>
      </c>
      <c r="B105" s="225" t="s">
        <v>1516</v>
      </c>
      <c r="C105" s="226" t="s">
        <v>497</v>
      </c>
      <c r="D105" s="227" t="s">
        <v>640</v>
      </c>
      <c r="E105" s="223" t="s">
        <v>864</v>
      </c>
      <c r="F105" s="194"/>
      <c r="G105" s="199"/>
      <c r="H105" s="200">
        <v>43</v>
      </c>
      <c r="I105" s="200"/>
      <c r="J105" s="200">
        <f t="shared" si="3"/>
        <v>43</v>
      </c>
      <c r="K105" s="202"/>
    </row>
    <row r="106" spans="1:11">
      <c r="A106" s="224" t="s">
        <v>1</v>
      </c>
      <c r="B106" s="225" t="s">
        <v>1517</v>
      </c>
      <c r="C106" s="226" t="s">
        <v>498</v>
      </c>
      <c r="D106" s="227" t="s">
        <v>641</v>
      </c>
      <c r="E106" s="223" t="s">
        <v>864</v>
      </c>
      <c r="F106" s="194"/>
      <c r="G106" s="199"/>
      <c r="H106" s="200">
        <v>63</v>
      </c>
      <c r="I106" s="200">
        <v>13</v>
      </c>
      <c r="J106" s="200">
        <f t="shared" si="3"/>
        <v>50</v>
      </c>
      <c r="K106" s="202"/>
    </row>
    <row r="107" spans="1:11">
      <c r="A107" s="224" t="s">
        <v>1</v>
      </c>
      <c r="B107" s="225" t="s">
        <v>1518</v>
      </c>
      <c r="C107" s="226" t="s">
        <v>499</v>
      </c>
      <c r="D107" s="227" t="s">
        <v>642</v>
      </c>
      <c r="E107" s="223" t="s">
        <v>864</v>
      </c>
      <c r="F107" s="194"/>
      <c r="G107" s="199"/>
      <c r="H107" s="200">
        <v>21</v>
      </c>
      <c r="I107" s="200"/>
      <c r="J107" s="200">
        <f t="shared" si="3"/>
        <v>21</v>
      </c>
      <c r="K107" s="202"/>
    </row>
    <row r="108" spans="1:11">
      <c r="A108" s="224" t="s">
        <v>1</v>
      </c>
      <c r="B108" s="225" t="s">
        <v>1519</v>
      </c>
      <c r="C108" s="226" t="s">
        <v>500</v>
      </c>
      <c r="D108" s="227" t="s">
        <v>643</v>
      </c>
      <c r="E108" s="223" t="s">
        <v>864</v>
      </c>
      <c r="F108" s="194"/>
      <c r="G108" s="199"/>
      <c r="H108" s="200">
        <v>19</v>
      </c>
      <c r="I108" s="200"/>
      <c r="J108" s="200">
        <f t="shared" si="3"/>
        <v>19</v>
      </c>
      <c r="K108" s="202"/>
    </row>
    <row r="109" spans="1:11">
      <c r="A109" s="224" t="s">
        <v>1</v>
      </c>
      <c r="B109" s="225" t="s">
        <v>1520</v>
      </c>
      <c r="C109" s="226" t="s">
        <v>501</v>
      </c>
      <c r="D109" s="227" t="s">
        <v>644</v>
      </c>
      <c r="E109" s="223" t="s">
        <v>864</v>
      </c>
      <c r="F109" s="194"/>
      <c r="G109" s="199"/>
      <c r="H109" s="200">
        <v>23</v>
      </c>
      <c r="I109" s="200"/>
      <c r="J109" s="200">
        <f t="shared" si="3"/>
        <v>23</v>
      </c>
      <c r="K109" s="202"/>
    </row>
    <row r="110" spans="1:11">
      <c r="A110" s="224" t="s">
        <v>1</v>
      </c>
      <c r="B110" s="225" t="s">
        <v>1521</v>
      </c>
      <c r="C110" s="226" t="s">
        <v>502</v>
      </c>
      <c r="D110" s="227" t="s">
        <v>645</v>
      </c>
      <c r="E110" s="223" t="s">
        <v>864</v>
      </c>
      <c r="F110" s="194"/>
      <c r="G110" s="199"/>
      <c r="H110" s="200">
        <v>35</v>
      </c>
      <c r="I110" s="200"/>
      <c r="J110" s="200">
        <f t="shared" si="3"/>
        <v>35</v>
      </c>
      <c r="K110" s="202"/>
    </row>
    <row r="111" spans="1:11">
      <c r="A111" s="224" t="s">
        <v>1</v>
      </c>
      <c r="B111" s="225" t="s">
        <v>1522</v>
      </c>
      <c r="C111" s="226" t="s">
        <v>503</v>
      </c>
      <c r="D111" s="227" t="s">
        <v>646</v>
      </c>
      <c r="E111" s="223" t="s">
        <v>864</v>
      </c>
      <c r="F111" s="194"/>
      <c r="G111" s="199"/>
      <c r="H111" s="200">
        <v>13.700000000000003</v>
      </c>
      <c r="I111" s="200"/>
      <c r="J111" s="200">
        <f t="shared" si="3"/>
        <v>13.700000000000003</v>
      </c>
      <c r="K111" s="202"/>
    </row>
    <row r="112" spans="1:11">
      <c r="A112" s="224" t="s">
        <v>1</v>
      </c>
      <c r="B112" s="225" t="s">
        <v>1523</v>
      </c>
      <c r="C112" s="226" t="s">
        <v>504</v>
      </c>
      <c r="D112" s="227" t="s">
        <v>647</v>
      </c>
      <c r="E112" s="223" t="s">
        <v>864</v>
      </c>
      <c r="F112" s="194"/>
      <c r="G112" s="199"/>
      <c r="H112" s="200">
        <v>4</v>
      </c>
      <c r="I112" s="200"/>
      <c r="J112" s="200">
        <f t="shared" si="3"/>
        <v>4</v>
      </c>
      <c r="K112" s="202"/>
    </row>
    <row r="113" spans="1:11">
      <c r="A113" s="224" t="s">
        <v>1</v>
      </c>
      <c r="B113" s="225" t="s">
        <v>1524</v>
      </c>
      <c r="C113" s="226" t="s">
        <v>505</v>
      </c>
      <c r="D113" s="227" t="s">
        <v>648</v>
      </c>
      <c r="E113" s="223" t="s">
        <v>864</v>
      </c>
      <c r="F113" s="194"/>
      <c r="G113" s="199"/>
      <c r="H113" s="200">
        <v>6</v>
      </c>
      <c r="I113" s="200"/>
      <c r="J113" s="200">
        <f t="shared" si="3"/>
        <v>6</v>
      </c>
      <c r="K113" s="202"/>
    </row>
    <row r="114" spans="1:11">
      <c r="A114" s="224" t="s">
        <v>1</v>
      </c>
      <c r="B114" s="225" t="s">
        <v>1525</v>
      </c>
      <c r="C114" s="226" t="s">
        <v>506</v>
      </c>
      <c r="D114" s="227" t="s">
        <v>649</v>
      </c>
      <c r="E114" s="223" t="s">
        <v>864</v>
      </c>
      <c r="F114" s="194"/>
      <c r="G114" s="199"/>
      <c r="H114" s="200">
        <v>2</v>
      </c>
      <c r="I114" s="200"/>
      <c r="J114" s="200">
        <f t="shared" si="3"/>
        <v>2</v>
      </c>
      <c r="K114" s="202"/>
    </row>
    <row r="115" spans="1:11">
      <c r="A115" s="224" t="s">
        <v>1</v>
      </c>
      <c r="B115" s="225" t="s">
        <v>1526</v>
      </c>
      <c r="C115" s="226" t="s">
        <v>507</v>
      </c>
      <c r="D115" s="227" t="s">
        <v>650</v>
      </c>
      <c r="E115" s="223" t="s">
        <v>864</v>
      </c>
      <c r="F115" s="194"/>
      <c r="G115" s="199"/>
      <c r="H115" s="200">
        <v>2</v>
      </c>
      <c r="I115" s="200"/>
      <c r="J115" s="200">
        <f t="shared" si="3"/>
        <v>2</v>
      </c>
      <c r="K115" s="202"/>
    </row>
    <row r="116" spans="1:11">
      <c r="A116" s="224" t="s">
        <v>1</v>
      </c>
      <c r="B116" s="225" t="s">
        <v>1527</v>
      </c>
      <c r="C116" s="226" t="s">
        <v>508</v>
      </c>
      <c r="D116" s="227" t="s">
        <v>651</v>
      </c>
      <c r="E116" s="223" t="s">
        <v>864</v>
      </c>
      <c r="F116" s="194"/>
      <c r="G116" s="199"/>
      <c r="H116" s="200">
        <v>15</v>
      </c>
      <c r="I116" s="200"/>
      <c r="J116" s="200">
        <f t="shared" si="3"/>
        <v>15</v>
      </c>
      <c r="K116" s="202"/>
    </row>
    <row r="117" spans="1:11">
      <c r="A117" s="224" t="s">
        <v>1</v>
      </c>
      <c r="B117" s="225" t="s">
        <v>1528</v>
      </c>
      <c r="C117" s="226" t="s">
        <v>509</v>
      </c>
      <c r="D117" s="227" t="s">
        <v>652</v>
      </c>
      <c r="E117" s="223" t="s">
        <v>864</v>
      </c>
      <c r="F117" s="194"/>
      <c r="G117" s="199"/>
      <c r="H117" s="200">
        <v>15</v>
      </c>
      <c r="I117" s="200"/>
      <c r="J117" s="200">
        <f t="shared" si="3"/>
        <v>15</v>
      </c>
      <c r="K117" s="202"/>
    </row>
    <row r="118" spans="1:11">
      <c r="A118" s="224" t="s">
        <v>1</v>
      </c>
      <c r="B118" s="225" t="s">
        <v>1529</v>
      </c>
      <c r="C118" s="226" t="s">
        <v>510</v>
      </c>
      <c r="D118" s="227" t="s">
        <v>653</v>
      </c>
      <c r="E118" s="223" t="s">
        <v>864</v>
      </c>
      <c r="F118" s="194"/>
      <c r="G118" s="199"/>
      <c r="H118" s="200">
        <v>9</v>
      </c>
      <c r="I118" s="200"/>
      <c r="J118" s="200">
        <f t="shared" si="3"/>
        <v>9</v>
      </c>
      <c r="K118" s="202"/>
    </row>
    <row r="119" spans="1:11">
      <c r="A119" s="224" t="s">
        <v>1</v>
      </c>
      <c r="B119" s="225" t="s">
        <v>1530</v>
      </c>
      <c r="C119" s="226" t="s">
        <v>513</v>
      </c>
      <c r="D119" s="227" t="s">
        <v>656</v>
      </c>
      <c r="E119" s="223" t="s">
        <v>864</v>
      </c>
      <c r="F119" s="194"/>
      <c r="G119" s="199"/>
      <c r="H119" s="200">
        <v>18</v>
      </c>
      <c r="I119" s="200"/>
      <c r="J119" s="200">
        <f t="shared" si="3"/>
        <v>18</v>
      </c>
      <c r="K119" s="202"/>
    </row>
    <row r="120" spans="1:11">
      <c r="A120" s="224" t="s">
        <v>1</v>
      </c>
      <c r="B120" s="225" t="s">
        <v>1531</v>
      </c>
      <c r="C120" s="226" t="s">
        <v>659</v>
      </c>
      <c r="D120" s="227" t="s">
        <v>660</v>
      </c>
      <c r="E120" s="223" t="s">
        <v>864</v>
      </c>
      <c r="F120" s="194"/>
      <c r="G120" s="199"/>
      <c r="H120" s="200">
        <v>19</v>
      </c>
      <c r="I120" s="200"/>
      <c r="J120" s="200">
        <f t="shared" si="3"/>
        <v>19</v>
      </c>
      <c r="K120" s="202"/>
    </row>
    <row r="121" spans="1:11">
      <c r="A121" s="224" t="s">
        <v>1</v>
      </c>
      <c r="B121" s="225" t="s">
        <v>1532</v>
      </c>
      <c r="C121" s="226" t="s">
        <v>661</v>
      </c>
      <c r="D121" s="227" t="s">
        <v>662</v>
      </c>
      <c r="E121" s="223" t="s">
        <v>864</v>
      </c>
      <c r="F121" s="194"/>
      <c r="G121" s="199"/>
      <c r="H121" s="200">
        <v>10</v>
      </c>
      <c r="I121" s="200"/>
      <c r="J121" s="200">
        <f t="shared" si="3"/>
        <v>10</v>
      </c>
      <c r="K121" s="202"/>
    </row>
    <row r="122" spans="1:11">
      <c r="A122" s="224" t="s">
        <v>1</v>
      </c>
      <c r="B122" s="225" t="s">
        <v>1533</v>
      </c>
      <c r="C122" s="226" t="s">
        <v>663</v>
      </c>
      <c r="D122" s="227" t="s">
        <v>664</v>
      </c>
      <c r="E122" s="223" t="s">
        <v>864</v>
      </c>
      <c r="F122" s="194"/>
      <c r="G122" s="199"/>
      <c r="H122" s="200">
        <v>5</v>
      </c>
      <c r="I122" s="200"/>
      <c r="J122" s="200">
        <f t="shared" si="3"/>
        <v>5</v>
      </c>
      <c r="K122" s="202"/>
    </row>
    <row r="123" spans="1:11">
      <c r="A123" s="224" t="s">
        <v>1</v>
      </c>
      <c r="B123" s="225" t="s">
        <v>1534</v>
      </c>
      <c r="C123" s="226" t="s">
        <v>665</v>
      </c>
      <c r="D123" s="227" t="s">
        <v>666</v>
      </c>
      <c r="E123" s="223" t="s">
        <v>864</v>
      </c>
      <c r="F123" s="194"/>
      <c r="G123" s="199"/>
      <c r="H123" s="200">
        <v>6</v>
      </c>
      <c r="I123" s="200"/>
      <c r="J123" s="200">
        <f t="shared" si="3"/>
        <v>6</v>
      </c>
      <c r="K123" s="202"/>
    </row>
    <row r="124" spans="1:11">
      <c r="A124" s="224" t="s">
        <v>1</v>
      </c>
      <c r="B124" s="225" t="s">
        <v>1535</v>
      </c>
      <c r="C124" s="226" t="s">
        <v>669</v>
      </c>
      <c r="D124" s="227" t="s">
        <v>670</v>
      </c>
      <c r="E124" s="223" t="s">
        <v>864</v>
      </c>
      <c r="F124" s="194"/>
      <c r="G124" s="199"/>
      <c r="H124" s="200">
        <v>5.5</v>
      </c>
      <c r="I124" s="200"/>
      <c r="J124" s="200">
        <f t="shared" si="3"/>
        <v>5.5</v>
      </c>
      <c r="K124" s="202"/>
    </row>
    <row r="125" spans="1:11">
      <c r="A125" s="224" t="s">
        <v>1</v>
      </c>
      <c r="B125" s="225" t="s">
        <v>1536</v>
      </c>
      <c r="C125" s="226" t="s">
        <v>671</v>
      </c>
      <c r="D125" s="227" t="s">
        <v>672</v>
      </c>
      <c r="E125" s="223" t="s">
        <v>864</v>
      </c>
      <c r="F125" s="194"/>
      <c r="G125" s="199"/>
      <c r="H125" s="200">
        <v>3</v>
      </c>
      <c r="I125" s="200"/>
      <c r="J125" s="200">
        <f t="shared" si="3"/>
        <v>3</v>
      </c>
      <c r="K125" s="202"/>
    </row>
    <row r="126" spans="1:11">
      <c r="A126" s="224" t="s">
        <v>1</v>
      </c>
      <c r="B126" s="225" t="s">
        <v>1537</v>
      </c>
      <c r="C126" s="226" t="s">
        <v>673</v>
      </c>
      <c r="D126" s="227" t="s">
        <v>674</v>
      </c>
      <c r="E126" s="223" t="s">
        <v>864</v>
      </c>
      <c r="F126" s="194"/>
      <c r="G126" s="199"/>
      <c r="H126" s="200">
        <v>17</v>
      </c>
      <c r="I126" s="200"/>
      <c r="J126" s="200">
        <f t="shared" si="3"/>
        <v>17</v>
      </c>
      <c r="K126" s="202"/>
    </row>
    <row r="127" spans="1:11">
      <c r="A127" s="219" t="s">
        <v>1</v>
      </c>
      <c r="B127" s="220"/>
      <c r="C127" s="228" t="s">
        <v>1538</v>
      </c>
      <c r="D127" s="222" t="s">
        <v>1539</v>
      </c>
      <c r="E127" s="223" t="s">
        <v>864</v>
      </c>
      <c r="F127" s="194"/>
      <c r="G127" s="203"/>
      <c r="H127" s="204">
        <v>15</v>
      </c>
      <c r="I127" s="204">
        <v>1.6</v>
      </c>
      <c r="J127" s="200">
        <f t="shared" si="3"/>
        <v>13.4</v>
      </c>
      <c r="K127" s="205"/>
    </row>
    <row r="128" spans="1:11">
      <c r="A128" s="219" t="s">
        <v>1</v>
      </c>
      <c r="B128" s="220" t="s">
        <v>1546</v>
      </c>
      <c r="C128" s="228" t="s">
        <v>1586</v>
      </c>
      <c r="D128" s="222" t="s">
        <v>1547</v>
      </c>
      <c r="E128" s="223" t="s">
        <v>864</v>
      </c>
      <c r="F128" s="194"/>
      <c r="G128" s="203">
        <v>3.1</v>
      </c>
      <c r="H128" s="206">
        <v>159.5</v>
      </c>
      <c r="I128" s="204"/>
      <c r="J128" s="204">
        <f t="shared" si="3"/>
        <v>159.5</v>
      </c>
      <c r="K128" s="205"/>
    </row>
    <row r="129" spans="1:11">
      <c r="A129" s="219" t="s">
        <v>1</v>
      </c>
      <c r="B129" s="220" t="s">
        <v>1552</v>
      </c>
      <c r="C129" s="228" t="s">
        <v>1587</v>
      </c>
      <c r="D129" s="222" t="s">
        <v>1547</v>
      </c>
      <c r="E129" s="223" t="s">
        <v>864</v>
      </c>
      <c r="F129" s="194"/>
      <c r="G129" s="203">
        <v>3.1</v>
      </c>
      <c r="H129" s="206">
        <v>197</v>
      </c>
      <c r="I129" s="204"/>
      <c r="J129" s="204">
        <f t="shared" si="3"/>
        <v>197</v>
      </c>
      <c r="K129" s="205"/>
    </row>
    <row r="130" spans="1:11">
      <c r="A130" s="219" t="s">
        <v>1</v>
      </c>
      <c r="B130" s="220" t="s">
        <v>1553</v>
      </c>
      <c r="C130" s="228" t="s">
        <v>1588</v>
      </c>
      <c r="D130" s="222" t="s">
        <v>1547</v>
      </c>
      <c r="E130" s="223" t="s">
        <v>864</v>
      </c>
      <c r="F130" s="194"/>
      <c r="G130" s="203">
        <v>3.1</v>
      </c>
      <c r="H130" s="206">
        <v>199.9</v>
      </c>
      <c r="I130" s="204"/>
      <c r="J130" s="204">
        <f t="shared" si="3"/>
        <v>199.9</v>
      </c>
      <c r="K130" s="205"/>
    </row>
    <row r="131" spans="1:11">
      <c r="A131" s="219" t="s">
        <v>1</v>
      </c>
      <c r="B131" s="220" t="s">
        <v>1554</v>
      </c>
      <c r="C131" s="228" t="s">
        <v>1589</v>
      </c>
      <c r="D131" s="222" t="s">
        <v>1547</v>
      </c>
      <c r="E131" s="223" t="s">
        <v>864</v>
      </c>
      <c r="F131" s="194"/>
      <c r="G131" s="203">
        <v>3.1</v>
      </c>
      <c r="H131" s="206">
        <v>180.3</v>
      </c>
      <c r="I131" s="204"/>
      <c r="J131" s="204">
        <f t="shared" si="3"/>
        <v>180.3</v>
      </c>
      <c r="K131" s="205"/>
    </row>
    <row r="132" spans="1:11">
      <c r="A132" s="219" t="s">
        <v>1</v>
      </c>
      <c r="B132" s="220" t="s">
        <v>1555</v>
      </c>
      <c r="C132" s="228" t="s">
        <v>1590</v>
      </c>
      <c r="D132" s="222" t="s">
        <v>1547</v>
      </c>
      <c r="E132" s="223" t="s">
        <v>864</v>
      </c>
      <c r="F132" s="194"/>
      <c r="G132" s="203">
        <v>3.1</v>
      </c>
      <c r="H132" s="206">
        <v>188.9</v>
      </c>
      <c r="I132" s="204"/>
      <c r="J132" s="204">
        <f t="shared" si="3"/>
        <v>188.9</v>
      </c>
      <c r="K132" s="205"/>
    </row>
    <row r="133" spans="1:11">
      <c r="A133" s="219" t="s">
        <v>1</v>
      </c>
      <c r="B133" s="220" t="s">
        <v>1556</v>
      </c>
      <c r="C133" s="228" t="s">
        <v>1591</v>
      </c>
      <c r="D133" s="222" t="s">
        <v>1548</v>
      </c>
      <c r="E133" s="223" t="s">
        <v>864</v>
      </c>
      <c r="F133" s="194"/>
      <c r="G133" s="203">
        <v>3.6</v>
      </c>
      <c r="H133" s="206">
        <v>297</v>
      </c>
      <c r="I133" s="204"/>
      <c r="J133" s="204">
        <f t="shared" ref="J133:J156" si="4">(H133-I133)</f>
        <v>297</v>
      </c>
      <c r="K133" s="205"/>
    </row>
    <row r="134" spans="1:11">
      <c r="A134" s="219" t="s">
        <v>1</v>
      </c>
      <c r="B134" s="220" t="s">
        <v>1557</v>
      </c>
      <c r="C134" s="228" t="s">
        <v>1592</v>
      </c>
      <c r="D134" s="222" t="s">
        <v>1548</v>
      </c>
      <c r="E134" s="223" t="s">
        <v>864</v>
      </c>
      <c r="F134" s="194"/>
      <c r="G134" s="203">
        <v>3.6</v>
      </c>
      <c r="H134" s="206">
        <v>172.2</v>
      </c>
      <c r="I134" s="204"/>
      <c r="J134" s="204">
        <f t="shared" si="4"/>
        <v>172.2</v>
      </c>
      <c r="K134" s="205"/>
    </row>
    <row r="135" spans="1:11">
      <c r="A135" s="219" t="s">
        <v>1</v>
      </c>
      <c r="B135" s="220" t="s">
        <v>1558</v>
      </c>
      <c r="C135" s="228" t="s">
        <v>1593</v>
      </c>
      <c r="D135" s="222" t="s">
        <v>1548</v>
      </c>
      <c r="E135" s="223" t="s">
        <v>864</v>
      </c>
      <c r="F135" s="194"/>
      <c r="G135" s="203">
        <v>3.6</v>
      </c>
      <c r="H135" s="206">
        <v>273</v>
      </c>
      <c r="I135" s="204"/>
      <c r="J135" s="204">
        <f t="shared" si="4"/>
        <v>273</v>
      </c>
      <c r="K135" s="205"/>
    </row>
    <row r="136" spans="1:11">
      <c r="A136" s="219" t="s">
        <v>1</v>
      </c>
      <c r="B136" s="220" t="s">
        <v>1559</v>
      </c>
      <c r="C136" s="228" t="s">
        <v>1594</v>
      </c>
      <c r="D136" s="222" t="s">
        <v>1548</v>
      </c>
      <c r="E136" s="223" t="s">
        <v>864</v>
      </c>
      <c r="F136" s="194"/>
      <c r="G136" s="203">
        <v>3.6</v>
      </c>
      <c r="H136" s="206">
        <v>298</v>
      </c>
      <c r="I136" s="204"/>
      <c r="J136" s="204">
        <f t="shared" si="4"/>
        <v>298</v>
      </c>
      <c r="K136" s="205"/>
    </row>
    <row r="137" spans="1:11">
      <c r="A137" s="219" t="s">
        <v>1</v>
      </c>
      <c r="B137" s="220" t="s">
        <v>1560</v>
      </c>
      <c r="C137" s="228" t="s">
        <v>1595</v>
      </c>
      <c r="D137" s="222" t="s">
        <v>1548</v>
      </c>
      <c r="E137" s="223" t="s">
        <v>864</v>
      </c>
      <c r="F137" s="194"/>
      <c r="G137" s="203">
        <v>3.6</v>
      </c>
      <c r="H137" s="206">
        <v>268</v>
      </c>
      <c r="I137" s="204"/>
      <c r="J137" s="204">
        <f t="shared" si="4"/>
        <v>268</v>
      </c>
      <c r="K137" s="205"/>
    </row>
    <row r="138" spans="1:11">
      <c r="A138" s="219" t="s">
        <v>1</v>
      </c>
      <c r="B138" s="220" t="s">
        <v>1561</v>
      </c>
      <c r="C138" s="228" t="s">
        <v>1596</v>
      </c>
      <c r="D138" s="222" t="s">
        <v>1549</v>
      </c>
      <c r="E138" s="223" t="s">
        <v>864</v>
      </c>
      <c r="F138" s="194"/>
      <c r="G138" s="203">
        <v>3.6</v>
      </c>
      <c r="H138" s="206">
        <v>54.72</v>
      </c>
      <c r="I138" s="204"/>
      <c r="J138" s="204">
        <f t="shared" si="4"/>
        <v>54.72</v>
      </c>
      <c r="K138" s="205"/>
    </row>
    <row r="139" spans="1:11">
      <c r="A139" s="219" t="s">
        <v>1</v>
      </c>
      <c r="B139" s="220" t="s">
        <v>1562</v>
      </c>
      <c r="C139" s="228" t="s">
        <v>1597</v>
      </c>
      <c r="D139" s="222" t="s">
        <v>1547</v>
      </c>
      <c r="E139" s="223" t="s">
        <v>864</v>
      </c>
      <c r="F139" s="194"/>
      <c r="G139" s="203">
        <v>3.1</v>
      </c>
      <c r="H139" s="206">
        <v>309</v>
      </c>
      <c r="I139" s="204"/>
      <c r="J139" s="204">
        <f t="shared" si="4"/>
        <v>309</v>
      </c>
      <c r="K139" s="205"/>
    </row>
    <row r="140" spans="1:11">
      <c r="A140" s="219" t="s">
        <v>1</v>
      </c>
      <c r="B140" s="220" t="s">
        <v>1563</v>
      </c>
      <c r="C140" s="228" t="s">
        <v>1598</v>
      </c>
      <c r="D140" s="222" t="s">
        <v>1547</v>
      </c>
      <c r="E140" s="223" t="s">
        <v>864</v>
      </c>
      <c r="F140" s="194"/>
      <c r="G140" s="203">
        <v>3.1</v>
      </c>
      <c r="H140" s="206">
        <v>321.89999999999998</v>
      </c>
      <c r="I140" s="204"/>
      <c r="J140" s="204">
        <f t="shared" si="4"/>
        <v>321.89999999999998</v>
      </c>
      <c r="K140" s="205"/>
    </row>
    <row r="141" spans="1:11">
      <c r="A141" s="219" t="s">
        <v>1</v>
      </c>
      <c r="B141" s="220" t="s">
        <v>1564</v>
      </c>
      <c r="C141" s="228" t="s">
        <v>1599</v>
      </c>
      <c r="D141" s="222" t="s">
        <v>1550</v>
      </c>
      <c r="E141" s="223" t="s">
        <v>864</v>
      </c>
      <c r="F141" s="194"/>
      <c r="G141" s="203">
        <v>3.1</v>
      </c>
      <c r="H141" s="206">
        <v>243.4</v>
      </c>
      <c r="I141" s="204"/>
      <c r="J141" s="204">
        <f t="shared" si="4"/>
        <v>243.4</v>
      </c>
      <c r="K141" s="205"/>
    </row>
    <row r="142" spans="1:11">
      <c r="A142" s="219" t="s">
        <v>1</v>
      </c>
      <c r="B142" s="220" t="s">
        <v>1565</v>
      </c>
      <c r="C142" s="228" t="s">
        <v>1600</v>
      </c>
      <c r="D142" s="222" t="s">
        <v>1550</v>
      </c>
      <c r="E142" s="223" t="s">
        <v>864</v>
      </c>
      <c r="F142" s="194"/>
      <c r="G142" s="203">
        <v>3.1</v>
      </c>
      <c r="H142" s="206">
        <v>232.7</v>
      </c>
      <c r="I142" s="204"/>
      <c r="J142" s="204">
        <f t="shared" si="4"/>
        <v>232.7</v>
      </c>
      <c r="K142" s="205"/>
    </row>
    <row r="143" spans="1:11">
      <c r="A143" s="219" t="s">
        <v>1</v>
      </c>
      <c r="B143" s="220" t="s">
        <v>1566</v>
      </c>
      <c r="C143" s="228" t="s">
        <v>1601</v>
      </c>
      <c r="D143" s="222" t="s">
        <v>1549</v>
      </c>
      <c r="E143" s="223" t="s">
        <v>864</v>
      </c>
      <c r="F143" s="194"/>
      <c r="G143" s="203">
        <v>3.8</v>
      </c>
      <c r="H143" s="206">
        <v>175.14</v>
      </c>
      <c r="I143" s="204">
        <v>159.84</v>
      </c>
      <c r="J143" s="204">
        <f t="shared" si="4"/>
        <v>15.299999999999983</v>
      </c>
      <c r="K143" s="205"/>
    </row>
    <row r="144" spans="1:11">
      <c r="A144" s="219" t="s">
        <v>1</v>
      </c>
      <c r="B144" s="220" t="s">
        <v>1567</v>
      </c>
      <c r="C144" s="228" t="s">
        <v>1602</v>
      </c>
      <c r="D144" s="222" t="s">
        <v>1549</v>
      </c>
      <c r="E144" s="223" t="s">
        <v>864</v>
      </c>
      <c r="F144" s="194"/>
      <c r="G144" s="203">
        <v>3.8</v>
      </c>
      <c r="H144" s="206">
        <v>185.39</v>
      </c>
      <c r="I144" s="204">
        <v>160.36000000000001</v>
      </c>
      <c r="J144" s="204">
        <f t="shared" si="4"/>
        <v>25.029999999999973</v>
      </c>
      <c r="K144" s="205"/>
    </row>
    <row r="145" spans="1:11">
      <c r="A145" s="219" t="s">
        <v>1</v>
      </c>
      <c r="B145" s="220" t="s">
        <v>1568</v>
      </c>
      <c r="C145" s="228" t="s">
        <v>1603</v>
      </c>
      <c r="D145" s="222" t="s">
        <v>1549</v>
      </c>
      <c r="E145" s="223" t="s">
        <v>864</v>
      </c>
      <c r="F145" s="194"/>
      <c r="G145" s="203">
        <v>3.8</v>
      </c>
      <c r="H145" s="206">
        <v>110.5</v>
      </c>
      <c r="I145" s="204">
        <v>108.3</v>
      </c>
      <c r="J145" s="204">
        <f t="shared" si="4"/>
        <v>2.2000000000000028</v>
      </c>
      <c r="K145" s="205"/>
    </row>
    <row r="146" spans="1:11">
      <c r="A146" s="219" t="s">
        <v>1</v>
      </c>
      <c r="B146" s="220" t="s">
        <v>1569</v>
      </c>
      <c r="C146" s="228" t="s">
        <v>1604</v>
      </c>
      <c r="D146" s="222" t="s">
        <v>1551</v>
      </c>
      <c r="E146" s="223" t="s">
        <v>864</v>
      </c>
      <c r="F146" s="194"/>
      <c r="G146" s="203">
        <v>3.1</v>
      </c>
      <c r="H146" s="206">
        <v>191</v>
      </c>
      <c r="I146" s="204"/>
      <c r="J146" s="204">
        <f t="shared" si="4"/>
        <v>191</v>
      </c>
      <c r="K146" s="205"/>
    </row>
    <row r="147" spans="1:11">
      <c r="A147" s="219" t="s">
        <v>1</v>
      </c>
      <c r="B147" s="220" t="s">
        <v>1570</v>
      </c>
      <c r="C147" s="228" t="s">
        <v>1605</v>
      </c>
      <c r="D147" s="222" t="s">
        <v>1551</v>
      </c>
      <c r="E147" s="223" t="s">
        <v>864</v>
      </c>
      <c r="F147" s="194"/>
      <c r="G147" s="203">
        <v>3.1</v>
      </c>
      <c r="H147" s="206">
        <v>191.5</v>
      </c>
      <c r="I147" s="204">
        <v>186.09</v>
      </c>
      <c r="J147" s="204">
        <f t="shared" si="4"/>
        <v>5.4099999999999966</v>
      </c>
      <c r="K147" s="205"/>
    </row>
    <row r="148" spans="1:11">
      <c r="A148" s="219" t="s">
        <v>1</v>
      </c>
      <c r="B148" s="220" t="s">
        <v>1571</v>
      </c>
      <c r="C148" s="228" t="s">
        <v>1606</v>
      </c>
      <c r="D148" s="222" t="s">
        <v>1547</v>
      </c>
      <c r="E148" s="223" t="s">
        <v>864</v>
      </c>
      <c r="F148" s="194"/>
      <c r="G148" s="203">
        <v>3.5</v>
      </c>
      <c r="H148" s="206">
        <v>130</v>
      </c>
      <c r="I148" s="204"/>
      <c r="J148" s="204">
        <f t="shared" si="4"/>
        <v>130</v>
      </c>
      <c r="K148" s="205"/>
    </row>
    <row r="149" spans="1:11">
      <c r="A149" s="219" t="s">
        <v>1</v>
      </c>
      <c r="B149" s="220" t="s">
        <v>1572</v>
      </c>
      <c r="C149" s="228" t="s">
        <v>1607</v>
      </c>
      <c r="D149" s="222" t="s">
        <v>1547</v>
      </c>
      <c r="E149" s="223" t="s">
        <v>864</v>
      </c>
      <c r="F149" s="194"/>
      <c r="G149" s="203">
        <v>3.5</v>
      </c>
      <c r="H149" s="206">
        <v>124</v>
      </c>
      <c r="I149" s="204"/>
      <c r="J149" s="204">
        <f t="shared" si="4"/>
        <v>124</v>
      </c>
      <c r="K149" s="205"/>
    </row>
    <row r="150" spans="1:11">
      <c r="A150" s="219" t="s">
        <v>1</v>
      </c>
      <c r="B150" s="220" t="s">
        <v>1573</v>
      </c>
      <c r="C150" s="228" t="s">
        <v>1608</v>
      </c>
      <c r="D150" s="222" t="s">
        <v>1547</v>
      </c>
      <c r="E150" s="223" t="s">
        <v>864</v>
      </c>
      <c r="F150" s="194"/>
      <c r="G150" s="203">
        <v>3.5</v>
      </c>
      <c r="H150" s="206">
        <v>179.7</v>
      </c>
      <c r="I150" s="204"/>
      <c r="J150" s="204">
        <f t="shared" si="4"/>
        <v>179.7</v>
      </c>
      <c r="K150" s="205"/>
    </row>
    <row r="151" spans="1:11">
      <c r="A151" s="219" t="s">
        <v>1</v>
      </c>
      <c r="B151" s="220" t="s">
        <v>1574</v>
      </c>
      <c r="C151" s="228" t="s">
        <v>1609</v>
      </c>
      <c r="D151" s="222" t="s">
        <v>1547</v>
      </c>
      <c r="E151" s="223" t="s">
        <v>864</v>
      </c>
      <c r="F151" s="194"/>
      <c r="G151" s="203">
        <v>3.5</v>
      </c>
      <c r="H151" s="206">
        <v>181</v>
      </c>
      <c r="I151" s="204"/>
      <c r="J151" s="204">
        <f t="shared" si="4"/>
        <v>181</v>
      </c>
      <c r="K151" s="205"/>
    </row>
    <row r="152" spans="1:11">
      <c r="A152" s="219" t="s">
        <v>1</v>
      </c>
      <c r="B152" s="220" t="s">
        <v>1575</v>
      </c>
      <c r="C152" s="228" t="s">
        <v>1610</v>
      </c>
      <c r="D152" s="222" t="s">
        <v>1547</v>
      </c>
      <c r="E152" s="223" t="s">
        <v>864</v>
      </c>
      <c r="F152" s="194"/>
      <c r="G152" s="203">
        <v>3.5</v>
      </c>
      <c r="H152" s="206">
        <v>193.4</v>
      </c>
      <c r="I152" s="204"/>
      <c r="J152" s="204">
        <f t="shared" si="4"/>
        <v>193.4</v>
      </c>
      <c r="K152" s="205"/>
    </row>
    <row r="153" spans="1:11">
      <c r="A153" s="219" t="s">
        <v>1</v>
      </c>
      <c r="B153" s="220" t="s">
        <v>1576</v>
      </c>
      <c r="C153" s="228" t="s">
        <v>1611</v>
      </c>
      <c r="D153" s="222" t="s">
        <v>1547</v>
      </c>
      <c r="E153" s="223" t="s">
        <v>864</v>
      </c>
      <c r="F153" s="194"/>
      <c r="G153" s="203">
        <v>3.5</v>
      </c>
      <c r="H153" s="206">
        <v>186</v>
      </c>
      <c r="I153" s="204"/>
      <c r="J153" s="204">
        <f t="shared" si="4"/>
        <v>186</v>
      </c>
      <c r="K153" s="205"/>
    </row>
    <row r="154" spans="1:11">
      <c r="A154" s="219" t="s">
        <v>1</v>
      </c>
      <c r="B154" s="220" t="s">
        <v>1577</v>
      </c>
      <c r="C154" s="228" t="s">
        <v>1612</v>
      </c>
      <c r="D154" s="222" t="s">
        <v>1547</v>
      </c>
      <c r="E154" s="223" t="s">
        <v>864</v>
      </c>
      <c r="F154" s="194"/>
      <c r="G154" s="203">
        <v>3.5</v>
      </c>
      <c r="H154" s="206">
        <v>173.6</v>
      </c>
      <c r="I154" s="204"/>
      <c r="J154" s="204">
        <f t="shared" si="4"/>
        <v>173.6</v>
      </c>
      <c r="K154" s="205"/>
    </row>
    <row r="155" spans="1:11">
      <c r="A155" s="219" t="s">
        <v>1</v>
      </c>
      <c r="B155" s="220" t="s">
        <v>1578</v>
      </c>
      <c r="C155" s="228" t="s">
        <v>1613</v>
      </c>
      <c r="D155" s="222" t="s">
        <v>1547</v>
      </c>
      <c r="E155" s="223" t="s">
        <v>864</v>
      </c>
      <c r="F155" s="194"/>
      <c r="G155" s="203">
        <v>3.5</v>
      </c>
      <c r="H155" s="206">
        <v>178.6</v>
      </c>
      <c r="I155" s="204"/>
      <c r="J155" s="204">
        <f t="shared" si="4"/>
        <v>178.6</v>
      </c>
      <c r="K155" s="205"/>
    </row>
    <row r="156" spans="1:11">
      <c r="A156" s="219" t="s">
        <v>1</v>
      </c>
      <c r="B156" s="220" t="s">
        <v>1579</v>
      </c>
      <c r="C156" s="228" t="s">
        <v>1614</v>
      </c>
      <c r="D156" s="222" t="s">
        <v>1547</v>
      </c>
      <c r="E156" s="223" t="s">
        <v>864</v>
      </c>
      <c r="F156" s="194"/>
      <c r="G156" s="203">
        <v>3.1</v>
      </c>
      <c r="H156" s="206">
        <v>-159.5</v>
      </c>
      <c r="I156" s="204"/>
      <c r="J156" s="204">
        <f t="shared" si="4"/>
        <v>-159.5</v>
      </c>
      <c r="K156" s="205"/>
    </row>
    <row r="157" spans="1:11">
      <c r="A157" s="219" t="s">
        <v>1</v>
      </c>
      <c r="B157" s="220"/>
      <c r="C157" s="228"/>
      <c r="D157" s="222"/>
      <c r="E157" s="223" t="s">
        <v>864</v>
      </c>
      <c r="F157" s="194"/>
      <c r="G157" s="203"/>
      <c r="H157" s="207"/>
      <c r="I157" s="204"/>
      <c r="J157" s="204"/>
      <c r="K157" s="205"/>
    </row>
    <row r="158" spans="1:11">
      <c r="A158" s="219" t="s">
        <v>1</v>
      </c>
      <c r="B158" s="220"/>
      <c r="C158" s="228"/>
      <c r="D158" s="222"/>
      <c r="E158" s="223" t="s">
        <v>864</v>
      </c>
      <c r="F158" s="194"/>
      <c r="G158" s="203"/>
      <c r="H158" s="207"/>
      <c r="I158" s="204"/>
      <c r="J158" s="204"/>
      <c r="K158" s="205"/>
    </row>
    <row r="159" spans="1:11" ht="13.15" thickBot="1">
      <c r="A159" s="229" t="s">
        <v>1</v>
      </c>
      <c r="B159" s="230"/>
      <c r="C159" s="231"/>
      <c r="D159" s="232"/>
      <c r="E159" s="233" t="s">
        <v>864</v>
      </c>
      <c r="F159" s="194"/>
      <c r="G159" s="208"/>
      <c r="H159" s="209"/>
      <c r="I159" s="210"/>
      <c r="J159" s="210"/>
      <c r="K159" s="211"/>
    </row>
    <row r="160" spans="1:11" ht="13.8" thickBot="1">
      <c r="A160" s="81"/>
      <c r="B160" s="81"/>
      <c r="C160" s="81"/>
      <c r="D160" s="195"/>
      <c r="E160" s="196" t="s">
        <v>1540</v>
      </c>
      <c r="F160" s="195"/>
      <c r="G160" s="197"/>
      <c r="H160" s="198"/>
      <c r="I160" s="197"/>
      <c r="J160" s="197">
        <f>SUM(J5:J127)</f>
        <v>2009.752</v>
      </c>
      <c r="K160" s="197"/>
    </row>
  </sheetData>
  <mergeCells count="11">
    <mergeCell ref="K3:K4"/>
    <mergeCell ref="H3:H4"/>
    <mergeCell ref="G3:G4"/>
    <mergeCell ref="B1:J1"/>
    <mergeCell ref="A3:A4"/>
    <mergeCell ref="B3:B4"/>
    <mergeCell ref="C3:C4"/>
    <mergeCell ref="D3:D4"/>
    <mergeCell ref="E3:E4"/>
    <mergeCell ref="J3:J4"/>
    <mergeCell ref="I3:I4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E363"/>
  <sheetViews>
    <sheetView workbookViewId="0">
      <selection activeCell="C3" sqref="C3"/>
    </sheetView>
  </sheetViews>
  <sheetFormatPr baseColWidth="10" defaultRowHeight="12.55"/>
  <cols>
    <col min="1" max="1" width="16.88671875" customWidth="1"/>
    <col min="2" max="2" width="15" customWidth="1"/>
    <col min="3" max="3" width="32.88671875" customWidth="1"/>
    <col min="4" max="4" width="13" customWidth="1"/>
    <col min="5" max="5" width="12.5546875" customWidth="1"/>
  </cols>
  <sheetData>
    <row r="1" spans="1:5" ht="38.200000000000003" customHeight="1">
      <c r="A1" s="5" t="s">
        <v>518</v>
      </c>
      <c r="B1" s="294" t="s">
        <v>749</v>
      </c>
      <c r="C1" s="295"/>
      <c r="D1" s="295"/>
      <c r="E1" s="295"/>
    </row>
    <row r="3" spans="1:5">
      <c r="A3" s="3"/>
      <c r="C3" s="15"/>
    </row>
    <row r="4" spans="1:5" ht="13.15">
      <c r="A4" s="14" t="s">
        <v>566</v>
      </c>
      <c r="C4" s="15"/>
    </row>
    <row r="6" spans="1:5" ht="16" customHeight="1">
      <c r="A6" s="292" t="s">
        <v>518</v>
      </c>
      <c r="B6" s="293"/>
      <c r="C6" s="293"/>
      <c r="D6" s="293"/>
    </row>
    <row r="7" spans="1:5" ht="16" customHeight="1"/>
    <row r="8" spans="1:5" ht="16" customHeight="1">
      <c r="A8" s="14" t="s">
        <v>566</v>
      </c>
      <c r="B8" s="110"/>
      <c r="C8" s="81"/>
    </row>
    <row r="9" spans="1:5" ht="16" customHeight="1">
      <c r="A9" s="81" t="s">
        <v>1031</v>
      </c>
      <c r="B9" s="110"/>
      <c r="C9" s="81"/>
    </row>
    <row r="10" spans="1:5" ht="16" customHeight="1"/>
    <row r="11" spans="1:5" ht="16" customHeight="1">
      <c r="A11" s="111" t="s">
        <v>1032</v>
      </c>
      <c r="B11" s="111" t="s">
        <v>1033</v>
      </c>
      <c r="C11" s="111" t="s">
        <v>1034</v>
      </c>
      <c r="D11" s="111" t="s">
        <v>1035</v>
      </c>
      <c r="E11" s="111" t="s">
        <v>1036</v>
      </c>
    </row>
    <row r="12" spans="1:5" ht="16" customHeight="1">
      <c r="A12" s="235"/>
      <c r="B12" s="236"/>
      <c r="C12" s="237" t="s">
        <v>1037</v>
      </c>
      <c r="D12" s="238"/>
      <c r="E12" s="112"/>
    </row>
    <row r="13" spans="1:5" ht="16" customHeight="1">
      <c r="A13" s="235" t="s">
        <v>1038</v>
      </c>
      <c r="B13" s="239" t="s">
        <v>1039</v>
      </c>
      <c r="C13" s="240" t="s">
        <v>1040</v>
      </c>
      <c r="D13" s="241">
        <v>3</v>
      </c>
      <c r="E13" s="112">
        <v>1</v>
      </c>
    </row>
    <row r="14" spans="1:5" ht="16" customHeight="1">
      <c r="A14" s="242" t="s">
        <v>1041</v>
      </c>
      <c r="B14" s="243" t="s">
        <v>1039</v>
      </c>
      <c r="C14" s="244" t="s">
        <v>1042</v>
      </c>
      <c r="D14" s="245">
        <v>1</v>
      </c>
      <c r="E14" s="246">
        <v>1</v>
      </c>
    </row>
    <row r="15" spans="1:5" ht="16" customHeight="1">
      <c r="A15" s="242" t="s">
        <v>1043</v>
      </c>
      <c r="B15" s="243" t="s">
        <v>1039</v>
      </c>
      <c r="C15" s="244" t="s">
        <v>1042</v>
      </c>
      <c r="D15" s="245">
        <v>2</v>
      </c>
      <c r="E15" s="246">
        <v>1</v>
      </c>
    </row>
    <row r="16" spans="1:5" ht="16" customHeight="1">
      <c r="A16" s="247" t="s">
        <v>1044</v>
      </c>
      <c r="B16" s="248" t="s">
        <v>1045</v>
      </c>
      <c r="C16" s="249" t="s">
        <v>1046</v>
      </c>
      <c r="D16" s="250">
        <v>3</v>
      </c>
      <c r="E16" s="112">
        <v>1</v>
      </c>
    </row>
    <row r="17" spans="1:5" ht="16" customHeight="1">
      <c r="A17" s="245" t="s">
        <v>1047</v>
      </c>
      <c r="B17" s="243" t="s">
        <v>1045</v>
      </c>
      <c r="C17" s="245" t="s">
        <v>1046</v>
      </c>
      <c r="D17" s="250">
        <v>3</v>
      </c>
      <c r="E17" s="246">
        <v>1</v>
      </c>
    </row>
    <row r="18" spans="1:5" ht="16" customHeight="1">
      <c r="A18" s="251" t="s">
        <v>1048</v>
      </c>
      <c r="B18" s="243" t="s">
        <v>1045</v>
      </c>
      <c r="C18" s="244" t="s">
        <v>1046</v>
      </c>
      <c r="D18" s="245">
        <v>2</v>
      </c>
      <c r="E18" s="246">
        <v>1</v>
      </c>
    </row>
    <row r="19" spans="1:5" ht="16" customHeight="1">
      <c r="A19" s="251" t="s">
        <v>1049</v>
      </c>
      <c r="B19" s="243" t="s">
        <v>1045</v>
      </c>
      <c r="C19" s="244" t="s">
        <v>1046</v>
      </c>
      <c r="D19" s="245">
        <v>3</v>
      </c>
      <c r="E19" s="246">
        <v>1</v>
      </c>
    </row>
    <row r="20" spans="1:5" ht="16" customHeight="1">
      <c r="A20" s="247" t="s">
        <v>1047</v>
      </c>
      <c r="B20" s="248" t="s">
        <v>1045</v>
      </c>
      <c r="C20" s="252" t="s">
        <v>1050</v>
      </c>
      <c r="D20" s="250">
        <v>2</v>
      </c>
      <c r="E20" s="112">
        <v>1</v>
      </c>
    </row>
    <row r="21" spans="1:5" ht="16" customHeight="1">
      <c r="A21" s="253" t="s">
        <v>1048</v>
      </c>
      <c r="B21" s="243" t="s">
        <v>1045</v>
      </c>
      <c r="C21" s="244" t="s">
        <v>1050</v>
      </c>
      <c r="D21" s="245">
        <v>4</v>
      </c>
      <c r="E21" s="246">
        <v>1</v>
      </c>
    </row>
    <row r="22" spans="1:5" ht="16" customHeight="1">
      <c r="A22" s="253" t="s">
        <v>1049</v>
      </c>
      <c r="B22" s="243" t="s">
        <v>1045</v>
      </c>
      <c r="C22" s="254" t="s">
        <v>1050</v>
      </c>
      <c r="D22" s="245">
        <v>1</v>
      </c>
      <c r="E22" s="246">
        <v>1</v>
      </c>
    </row>
    <row r="23" spans="1:5" ht="16" customHeight="1">
      <c r="A23" s="250" t="s">
        <v>1051</v>
      </c>
      <c r="B23" s="248" t="s">
        <v>1052</v>
      </c>
      <c r="C23" s="255" t="s">
        <v>1053</v>
      </c>
      <c r="D23" s="250">
        <v>2</v>
      </c>
      <c r="E23" s="112">
        <v>1</v>
      </c>
    </row>
    <row r="24" spans="1:5" ht="16" customHeight="1">
      <c r="A24" s="251" t="s">
        <v>1054</v>
      </c>
      <c r="B24" s="243" t="s">
        <v>1052</v>
      </c>
      <c r="C24" s="244" t="s">
        <v>1053</v>
      </c>
      <c r="D24" s="245">
        <v>9</v>
      </c>
      <c r="E24" s="246">
        <v>1</v>
      </c>
    </row>
    <row r="25" spans="1:5" ht="16" customHeight="1">
      <c r="A25" s="251" t="s">
        <v>1055</v>
      </c>
      <c r="B25" s="243" t="s">
        <v>1052</v>
      </c>
      <c r="C25" s="244" t="s">
        <v>1053</v>
      </c>
      <c r="D25" s="245">
        <v>6</v>
      </c>
      <c r="E25" s="246">
        <v>1</v>
      </c>
    </row>
    <row r="26" spans="1:5" ht="16" customHeight="1">
      <c r="A26" s="253" t="s">
        <v>1056</v>
      </c>
      <c r="B26" s="243" t="s">
        <v>1052</v>
      </c>
      <c r="C26" s="244" t="s">
        <v>1053</v>
      </c>
      <c r="D26" s="245">
        <v>2</v>
      </c>
      <c r="E26" s="246">
        <v>1</v>
      </c>
    </row>
    <row r="27" spans="1:5" ht="16" customHeight="1">
      <c r="A27" s="247" t="s">
        <v>1057</v>
      </c>
      <c r="B27" s="248" t="s">
        <v>1058</v>
      </c>
      <c r="C27" s="252" t="s">
        <v>1046</v>
      </c>
      <c r="D27" s="250">
        <v>6</v>
      </c>
      <c r="E27" s="112">
        <v>1</v>
      </c>
    </row>
    <row r="28" spans="1:5" ht="16" customHeight="1">
      <c r="A28" s="253" t="s">
        <v>1059</v>
      </c>
      <c r="B28" s="243" t="s">
        <v>1058</v>
      </c>
      <c r="C28" s="254" t="s">
        <v>1046</v>
      </c>
      <c r="D28" s="245">
        <v>10</v>
      </c>
      <c r="E28" s="246">
        <v>1</v>
      </c>
    </row>
    <row r="29" spans="1:5" ht="16" customHeight="1">
      <c r="A29" s="245" t="s">
        <v>1060</v>
      </c>
      <c r="B29" s="243" t="s">
        <v>1058</v>
      </c>
      <c r="C29" s="256" t="s">
        <v>1046</v>
      </c>
      <c r="D29" s="245">
        <v>9</v>
      </c>
      <c r="E29" s="246">
        <v>1</v>
      </c>
    </row>
    <row r="30" spans="1:5" ht="16" customHeight="1">
      <c r="A30" s="251" t="s">
        <v>1061</v>
      </c>
      <c r="B30" s="243" t="s">
        <v>1058</v>
      </c>
      <c r="C30" s="244" t="s">
        <v>1046</v>
      </c>
      <c r="D30" s="245">
        <v>4</v>
      </c>
      <c r="E30" s="246">
        <v>1</v>
      </c>
    </row>
    <row r="31" spans="1:5" ht="16" customHeight="1">
      <c r="A31" s="257" t="s">
        <v>1057</v>
      </c>
      <c r="B31" s="248" t="s">
        <v>1058</v>
      </c>
      <c r="C31" s="244" t="s">
        <v>1046</v>
      </c>
      <c r="D31" s="245">
        <v>8</v>
      </c>
      <c r="E31" s="246">
        <v>2</v>
      </c>
    </row>
    <row r="32" spans="1:5" ht="16" customHeight="1">
      <c r="A32" s="253" t="s">
        <v>1059</v>
      </c>
      <c r="B32" s="243" t="s">
        <v>1058</v>
      </c>
      <c r="C32" s="244" t="s">
        <v>1046</v>
      </c>
      <c r="D32" s="245">
        <v>15</v>
      </c>
      <c r="E32" s="246">
        <v>2</v>
      </c>
    </row>
    <row r="33" spans="1:5" ht="16" customHeight="1">
      <c r="A33" s="253" t="s">
        <v>1060</v>
      </c>
      <c r="B33" s="243" t="s">
        <v>1058</v>
      </c>
      <c r="C33" s="244" t="s">
        <v>1046</v>
      </c>
      <c r="D33" s="245">
        <v>16</v>
      </c>
      <c r="E33" s="246">
        <v>2</v>
      </c>
    </row>
    <row r="34" spans="1:5" ht="16" customHeight="1">
      <c r="A34" s="253" t="s">
        <v>1061</v>
      </c>
      <c r="B34" s="243" t="s">
        <v>1058</v>
      </c>
      <c r="C34" s="244" t="s">
        <v>1046</v>
      </c>
      <c r="D34" s="250">
        <v>8</v>
      </c>
      <c r="E34" s="246">
        <v>2</v>
      </c>
    </row>
    <row r="35" spans="1:5" ht="16" customHeight="1">
      <c r="A35" s="258" t="s">
        <v>1062</v>
      </c>
      <c r="B35" s="259" t="s">
        <v>1063</v>
      </c>
      <c r="C35" s="258" t="s">
        <v>1064</v>
      </c>
      <c r="D35" s="114">
        <v>1</v>
      </c>
      <c r="E35" s="112">
        <v>2</v>
      </c>
    </row>
    <row r="36" spans="1:5" ht="16" customHeight="1">
      <c r="A36" s="251" t="s">
        <v>1065</v>
      </c>
      <c r="B36" s="243" t="s">
        <v>1063</v>
      </c>
      <c r="C36" s="244" t="s">
        <v>1064</v>
      </c>
      <c r="D36" s="245">
        <v>3</v>
      </c>
      <c r="E36" s="246">
        <v>2</v>
      </c>
    </row>
    <row r="37" spans="1:5" ht="16" customHeight="1">
      <c r="A37" s="251" t="s">
        <v>1066</v>
      </c>
      <c r="B37" s="243" t="s">
        <v>1063</v>
      </c>
      <c r="C37" s="244" t="s">
        <v>1064</v>
      </c>
      <c r="D37" s="245">
        <v>2</v>
      </c>
      <c r="E37" s="246">
        <v>2</v>
      </c>
    </row>
    <row r="38" spans="1:5" ht="16" customHeight="1">
      <c r="A38" s="253" t="s">
        <v>1067</v>
      </c>
      <c r="B38" s="243" t="s">
        <v>1063</v>
      </c>
      <c r="C38" s="244" t="s">
        <v>1064</v>
      </c>
      <c r="D38" s="245">
        <v>1</v>
      </c>
      <c r="E38" s="246">
        <v>2</v>
      </c>
    </row>
    <row r="39" spans="1:5" ht="16" customHeight="1">
      <c r="A39" s="247" t="s">
        <v>1068</v>
      </c>
      <c r="B39" s="248" t="s">
        <v>1069</v>
      </c>
      <c r="C39" s="252" t="s">
        <v>1046</v>
      </c>
      <c r="D39" s="250">
        <v>1</v>
      </c>
      <c r="E39" s="112">
        <v>2</v>
      </c>
    </row>
    <row r="40" spans="1:5" ht="16" customHeight="1">
      <c r="A40" s="253" t="s">
        <v>1070</v>
      </c>
      <c r="B40" s="243" t="s">
        <v>1069</v>
      </c>
      <c r="C40" s="254" t="s">
        <v>1046</v>
      </c>
      <c r="D40" s="245">
        <v>4</v>
      </c>
      <c r="E40" s="246">
        <v>2</v>
      </c>
    </row>
    <row r="41" spans="1:5" ht="16" customHeight="1">
      <c r="A41" s="245" t="s">
        <v>1071</v>
      </c>
      <c r="B41" s="243" t="s">
        <v>1069</v>
      </c>
      <c r="C41" s="256" t="s">
        <v>1046</v>
      </c>
      <c r="D41" s="245">
        <v>4</v>
      </c>
      <c r="E41" s="246">
        <v>2</v>
      </c>
    </row>
    <row r="42" spans="1:5" ht="16" customHeight="1">
      <c r="A42" s="251" t="s">
        <v>1072</v>
      </c>
      <c r="B42" s="243" t="s">
        <v>1069</v>
      </c>
      <c r="C42" s="244" t="s">
        <v>1046</v>
      </c>
      <c r="D42" s="245">
        <v>2</v>
      </c>
      <c r="E42" s="246">
        <v>2</v>
      </c>
    </row>
    <row r="43" spans="1:5" ht="16" customHeight="1">
      <c r="A43" s="257" t="s">
        <v>1073</v>
      </c>
      <c r="B43" s="248" t="s">
        <v>1074</v>
      </c>
      <c r="C43" s="252" t="s">
        <v>1075</v>
      </c>
      <c r="D43" s="245">
        <v>4</v>
      </c>
      <c r="E43" s="246">
        <v>2</v>
      </c>
    </row>
    <row r="44" spans="1:5" ht="16" customHeight="1">
      <c r="A44" s="253" t="s">
        <v>1076</v>
      </c>
      <c r="B44" s="243" t="s">
        <v>1074</v>
      </c>
      <c r="C44" s="244" t="s">
        <v>1075</v>
      </c>
      <c r="D44" s="245">
        <v>6</v>
      </c>
      <c r="E44" s="246">
        <v>2</v>
      </c>
    </row>
    <row r="45" spans="1:5" ht="16" customHeight="1">
      <c r="A45" s="253" t="s">
        <v>1077</v>
      </c>
      <c r="B45" s="243" t="s">
        <v>1074</v>
      </c>
      <c r="C45" s="244" t="s">
        <v>1075</v>
      </c>
      <c r="D45" s="245">
        <v>5</v>
      </c>
      <c r="E45" s="246">
        <v>2</v>
      </c>
    </row>
    <row r="46" spans="1:5" ht="16" customHeight="1">
      <c r="A46" s="253" t="s">
        <v>1078</v>
      </c>
      <c r="B46" s="243" t="s">
        <v>1074</v>
      </c>
      <c r="C46" s="254" t="s">
        <v>1075</v>
      </c>
      <c r="D46" s="250">
        <v>2</v>
      </c>
      <c r="E46" s="246">
        <v>2</v>
      </c>
    </row>
    <row r="47" spans="1:5" ht="16" customHeight="1">
      <c r="A47" s="250" t="s">
        <v>1079</v>
      </c>
      <c r="B47" s="248" t="s">
        <v>1080</v>
      </c>
      <c r="C47" s="255" t="s">
        <v>1081</v>
      </c>
      <c r="D47" s="250">
        <v>6</v>
      </c>
      <c r="E47" s="112">
        <v>3</v>
      </c>
    </row>
    <row r="48" spans="1:5" ht="16" customHeight="1">
      <c r="A48" s="251" t="s">
        <v>1082</v>
      </c>
      <c r="B48" s="243" t="s">
        <v>1080</v>
      </c>
      <c r="C48" s="244" t="s">
        <v>1081</v>
      </c>
      <c r="D48" s="245">
        <v>15</v>
      </c>
      <c r="E48" s="246">
        <v>3</v>
      </c>
    </row>
    <row r="49" spans="1:5" ht="16" customHeight="1">
      <c r="A49" s="251" t="s">
        <v>1083</v>
      </c>
      <c r="B49" s="243" t="s">
        <v>1080</v>
      </c>
      <c r="C49" s="244" t="s">
        <v>1081</v>
      </c>
      <c r="D49" s="245">
        <v>15</v>
      </c>
      <c r="E49" s="246">
        <v>3</v>
      </c>
    </row>
    <row r="50" spans="1:5" ht="16" customHeight="1">
      <c r="A50" s="253" t="s">
        <v>1084</v>
      </c>
      <c r="B50" s="243" t="s">
        <v>1080</v>
      </c>
      <c r="C50" s="244" t="s">
        <v>1081</v>
      </c>
      <c r="D50" s="245">
        <v>7</v>
      </c>
      <c r="E50" s="246">
        <v>3</v>
      </c>
    </row>
    <row r="51" spans="1:5" ht="16" customHeight="1">
      <c r="A51" s="247" t="s">
        <v>1079</v>
      </c>
      <c r="B51" s="248" t="s">
        <v>1080</v>
      </c>
      <c r="C51" s="252" t="s">
        <v>1053</v>
      </c>
      <c r="D51" s="250">
        <v>7</v>
      </c>
      <c r="E51" s="112">
        <v>3</v>
      </c>
    </row>
    <row r="52" spans="1:5" ht="16" customHeight="1">
      <c r="A52" s="253" t="s">
        <v>1082</v>
      </c>
      <c r="B52" s="243" t="s">
        <v>1080</v>
      </c>
      <c r="C52" s="254" t="s">
        <v>1053</v>
      </c>
      <c r="D52" s="245">
        <v>11</v>
      </c>
      <c r="E52" s="246">
        <v>3</v>
      </c>
    </row>
    <row r="53" spans="1:5" ht="16" customHeight="1">
      <c r="A53" s="256" t="s">
        <v>1083</v>
      </c>
      <c r="B53" s="243" t="s">
        <v>1080</v>
      </c>
      <c r="C53" s="256" t="s">
        <v>1053</v>
      </c>
      <c r="D53" s="245">
        <v>9</v>
      </c>
      <c r="E53" s="246">
        <v>3</v>
      </c>
    </row>
    <row r="54" spans="1:5" ht="16" customHeight="1">
      <c r="A54" s="251" t="s">
        <v>1084</v>
      </c>
      <c r="B54" s="243" t="s">
        <v>1080</v>
      </c>
      <c r="C54" s="244" t="s">
        <v>1053</v>
      </c>
      <c r="D54" s="245">
        <v>3</v>
      </c>
      <c r="E54" s="246">
        <v>3</v>
      </c>
    </row>
    <row r="55" spans="1:5" ht="16" customHeight="1">
      <c r="A55" s="257" t="s">
        <v>1079</v>
      </c>
      <c r="B55" s="248" t="s">
        <v>1080</v>
      </c>
      <c r="C55" s="252" t="s">
        <v>1053</v>
      </c>
      <c r="D55" s="250">
        <v>2</v>
      </c>
      <c r="E55" s="112">
        <v>3</v>
      </c>
    </row>
    <row r="56" spans="1:5" ht="16" customHeight="1">
      <c r="A56" s="253" t="s">
        <v>1082</v>
      </c>
      <c r="B56" s="243" t="s">
        <v>1080</v>
      </c>
      <c r="C56" s="244" t="s">
        <v>1053</v>
      </c>
      <c r="D56" s="245">
        <v>1</v>
      </c>
      <c r="E56" s="246">
        <v>3</v>
      </c>
    </row>
    <row r="57" spans="1:5" ht="16" customHeight="1">
      <c r="A57" s="247" t="s">
        <v>1085</v>
      </c>
      <c r="B57" s="248" t="s">
        <v>1086</v>
      </c>
      <c r="C57" s="252" t="s">
        <v>1087</v>
      </c>
      <c r="D57" s="250">
        <v>1</v>
      </c>
      <c r="E57" s="112">
        <v>3</v>
      </c>
    </row>
    <row r="58" spans="1:5" ht="16" customHeight="1">
      <c r="A58" s="253" t="s">
        <v>1088</v>
      </c>
      <c r="B58" s="243" t="s">
        <v>1086</v>
      </c>
      <c r="C58" s="254" t="s">
        <v>1087</v>
      </c>
      <c r="D58" s="245">
        <v>3</v>
      </c>
      <c r="E58" s="246">
        <v>3</v>
      </c>
    </row>
    <row r="59" spans="1:5" ht="16" customHeight="1">
      <c r="A59" s="245" t="s">
        <v>1089</v>
      </c>
      <c r="B59" s="243" t="s">
        <v>1086</v>
      </c>
      <c r="C59" s="256" t="s">
        <v>1087</v>
      </c>
      <c r="D59" s="245">
        <v>2</v>
      </c>
      <c r="E59" s="246">
        <v>3</v>
      </c>
    </row>
    <row r="60" spans="1:5" ht="16" customHeight="1">
      <c r="A60" s="251" t="s">
        <v>1090</v>
      </c>
      <c r="B60" s="243" t="s">
        <v>1086</v>
      </c>
      <c r="C60" s="244" t="s">
        <v>1087</v>
      </c>
      <c r="D60" s="245">
        <v>1</v>
      </c>
      <c r="E60" s="246">
        <v>3</v>
      </c>
    </row>
    <row r="61" spans="1:5" ht="16" customHeight="1">
      <c r="A61" s="257" t="s">
        <v>1085</v>
      </c>
      <c r="B61" s="248" t="s">
        <v>1086</v>
      </c>
      <c r="C61" s="252" t="s">
        <v>1087</v>
      </c>
      <c r="D61" s="250">
        <v>2</v>
      </c>
      <c r="E61" s="112">
        <v>4</v>
      </c>
    </row>
    <row r="62" spans="1:5" ht="16" customHeight="1">
      <c r="A62" s="253" t="s">
        <v>1088</v>
      </c>
      <c r="B62" s="243" t="s">
        <v>1086</v>
      </c>
      <c r="C62" s="244" t="s">
        <v>1087</v>
      </c>
      <c r="D62" s="245">
        <v>1</v>
      </c>
      <c r="E62" s="246">
        <v>4</v>
      </c>
    </row>
    <row r="63" spans="1:5" ht="16" customHeight="1">
      <c r="A63" s="253" t="s">
        <v>1089</v>
      </c>
      <c r="B63" s="243" t="s">
        <v>1086</v>
      </c>
      <c r="C63" s="244" t="s">
        <v>1087</v>
      </c>
      <c r="D63" s="245">
        <v>2</v>
      </c>
      <c r="E63" s="246">
        <v>4</v>
      </c>
    </row>
    <row r="64" spans="1:5" ht="16" customHeight="1">
      <c r="A64" s="253" t="s">
        <v>1090</v>
      </c>
      <c r="B64" s="243" t="s">
        <v>1086</v>
      </c>
      <c r="C64" s="244" t="s">
        <v>1087</v>
      </c>
      <c r="D64" s="245">
        <v>2</v>
      </c>
      <c r="E64" s="246">
        <v>4</v>
      </c>
    </row>
    <row r="65" spans="1:5" ht="16" customHeight="1">
      <c r="A65" s="255" t="s">
        <v>1085</v>
      </c>
      <c r="B65" s="248" t="s">
        <v>1086</v>
      </c>
      <c r="C65" s="256" t="s">
        <v>1087</v>
      </c>
      <c r="D65" s="250">
        <v>1</v>
      </c>
      <c r="E65" s="246">
        <v>4</v>
      </c>
    </row>
    <row r="66" spans="1:5" ht="16" customHeight="1">
      <c r="A66" s="251" t="s">
        <v>1088</v>
      </c>
      <c r="B66" s="243" t="s">
        <v>1086</v>
      </c>
      <c r="C66" s="244" t="s">
        <v>1087</v>
      </c>
      <c r="D66" s="245">
        <v>2</v>
      </c>
      <c r="E66" s="246">
        <v>4</v>
      </c>
    </row>
    <row r="67" spans="1:5" ht="16" customHeight="1">
      <c r="A67" s="251" t="s">
        <v>1089</v>
      </c>
      <c r="B67" s="243" t="s">
        <v>1086</v>
      </c>
      <c r="C67" s="244" t="s">
        <v>1087</v>
      </c>
      <c r="D67" s="245">
        <v>2</v>
      </c>
      <c r="E67" s="246">
        <v>4</v>
      </c>
    </row>
    <row r="68" spans="1:5" ht="16" customHeight="1">
      <c r="A68" s="253" t="s">
        <v>1090</v>
      </c>
      <c r="B68" s="243" t="s">
        <v>1086</v>
      </c>
      <c r="C68" s="244" t="s">
        <v>1087</v>
      </c>
      <c r="D68" s="245">
        <v>1</v>
      </c>
      <c r="E68" s="246">
        <v>4</v>
      </c>
    </row>
    <row r="69" spans="1:5" ht="16" customHeight="1">
      <c r="A69" s="247" t="s">
        <v>1091</v>
      </c>
      <c r="B69" s="248" t="s">
        <v>1092</v>
      </c>
      <c r="C69" s="252" t="s">
        <v>1087</v>
      </c>
      <c r="D69" s="245">
        <v>2</v>
      </c>
      <c r="E69" s="246">
        <v>4</v>
      </c>
    </row>
    <row r="70" spans="1:5" ht="16" customHeight="1">
      <c r="A70" s="253" t="s">
        <v>1093</v>
      </c>
      <c r="B70" s="243" t="s">
        <v>1092</v>
      </c>
      <c r="C70" s="254" t="s">
        <v>1087</v>
      </c>
      <c r="D70" s="250">
        <v>5</v>
      </c>
      <c r="E70" s="246">
        <v>4</v>
      </c>
    </row>
    <row r="71" spans="1:5" ht="16" customHeight="1">
      <c r="A71" s="245" t="s">
        <v>1094</v>
      </c>
      <c r="B71" s="243" t="s">
        <v>1092</v>
      </c>
      <c r="C71" s="256" t="s">
        <v>1087</v>
      </c>
      <c r="D71" s="250">
        <v>2</v>
      </c>
      <c r="E71" s="246">
        <v>4</v>
      </c>
    </row>
    <row r="72" spans="1:5" ht="16" customHeight="1">
      <c r="A72" s="257" t="s">
        <v>1091</v>
      </c>
      <c r="B72" s="248" t="s">
        <v>1092</v>
      </c>
      <c r="C72" s="252" t="s">
        <v>1095</v>
      </c>
      <c r="D72" s="250">
        <v>1</v>
      </c>
      <c r="E72" s="112">
        <v>4</v>
      </c>
    </row>
    <row r="73" spans="1:5" ht="16" customHeight="1">
      <c r="A73" s="251" t="s">
        <v>1093</v>
      </c>
      <c r="B73" s="243" t="s">
        <v>1092</v>
      </c>
      <c r="C73" s="244" t="s">
        <v>1095</v>
      </c>
      <c r="D73" s="245">
        <v>1</v>
      </c>
      <c r="E73" s="246">
        <v>4</v>
      </c>
    </row>
    <row r="74" spans="1:5" ht="16" customHeight="1">
      <c r="A74" s="253" t="s">
        <v>1094</v>
      </c>
      <c r="B74" s="243" t="s">
        <v>1092</v>
      </c>
      <c r="C74" s="244" t="s">
        <v>1095</v>
      </c>
      <c r="D74" s="245">
        <v>1</v>
      </c>
      <c r="E74" s="246">
        <v>4</v>
      </c>
    </row>
    <row r="75" spans="1:5" ht="16" customHeight="1">
      <c r="A75" s="253" t="s">
        <v>1096</v>
      </c>
      <c r="B75" s="243" t="s">
        <v>1092</v>
      </c>
      <c r="C75" s="244" t="s">
        <v>1095</v>
      </c>
      <c r="D75" s="245">
        <v>1</v>
      </c>
      <c r="E75" s="246">
        <v>4</v>
      </c>
    </row>
    <row r="76" spans="1:5" ht="16" customHeight="1">
      <c r="A76" s="247" t="s">
        <v>1097</v>
      </c>
      <c r="B76" s="248" t="s">
        <v>1098</v>
      </c>
      <c r="C76" s="249" t="s">
        <v>1042</v>
      </c>
      <c r="D76" s="250">
        <v>1</v>
      </c>
      <c r="E76" s="112">
        <v>4</v>
      </c>
    </row>
    <row r="77" spans="1:5" ht="16" customHeight="1">
      <c r="A77" s="256" t="s">
        <v>1099</v>
      </c>
      <c r="B77" s="243" t="s">
        <v>1098</v>
      </c>
      <c r="C77" s="256" t="s">
        <v>1042</v>
      </c>
      <c r="D77" s="250">
        <v>3</v>
      </c>
      <c r="E77" s="246">
        <v>4</v>
      </c>
    </row>
    <row r="78" spans="1:5" ht="16" customHeight="1">
      <c r="A78" s="251" t="s">
        <v>1100</v>
      </c>
      <c r="B78" s="243" t="s">
        <v>1098</v>
      </c>
      <c r="C78" s="244" t="s">
        <v>1042</v>
      </c>
      <c r="D78" s="245">
        <v>2</v>
      </c>
      <c r="E78" s="246">
        <v>4</v>
      </c>
    </row>
    <row r="79" spans="1:5" ht="16" customHeight="1">
      <c r="A79" s="251" t="s">
        <v>1101</v>
      </c>
      <c r="B79" s="243" t="s">
        <v>1098</v>
      </c>
      <c r="C79" s="244" t="s">
        <v>1042</v>
      </c>
      <c r="D79" s="245">
        <v>1</v>
      </c>
      <c r="E79" s="246">
        <v>4</v>
      </c>
    </row>
    <row r="80" spans="1:5" ht="16" customHeight="1">
      <c r="A80" s="247" t="s">
        <v>1097</v>
      </c>
      <c r="B80" s="248" t="s">
        <v>1098</v>
      </c>
      <c r="C80" s="252" t="s">
        <v>1042</v>
      </c>
      <c r="D80" s="250">
        <v>1</v>
      </c>
      <c r="E80" s="112">
        <v>4</v>
      </c>
    </row>
    <row r="81" spans="1:5" ht="16" customHeight="1">
      <c r="A81" s="253" t="s">
        <v>1100</v>
      </c>
      <c r="B81" s="243" t="s">
        <v>1098</v>
      </c>
      <c r="C81" s="244" t="s">
        <v>1042</v>
      </c>
      <c r="D81" s="245">
        <v>2</v>
      </c>
      <c r="E81" s="246">
        <v>4</v>
      </c>
    </row>
    <row r="82" spans="1:5" ht="16" customHeight="1">
      <c r="A82" s="253" t="s">
        <v>1101</v>
      </c>
      <c r="B82" s="243" t="s">
        <v>1098</v>
      </c>
      <c r="C82" s="254" t="s">
        <v>1042</v>
      </c>
      <c r="D82" s="245">
        <v>1</v>
      </c>
      <c r="E82" s="246">
        <v>4</v>
      </c>
    </row>
    <row r="83" spans="1:5" ht="16" customHeight="1">
      <c r="A83" s="255" t="s">
        <v>1097</v>
      </c>
      <c r="B83" s="248" t="s">
        <v>1098</v>
      </c>
      <c r="C83" s="255" t="s">
        <v>1042</v>
      </c>
      <c r="D83" s="250">
        <v>3</v>
      </c>
      <c r="E83" s="112">
        <v>4</v>
      </c>
    </row>
    <row r="84" spans="1:5" ht="16" customHeight="1">
      <c r="A84" s="251" t="s">
        <v>1099</v>
      </c>
      <c r="B84" s="243" t="s">
        <v>1098</v>
      </c>
      <c r="C84" s="244" t="s">
        <v>1042</v>
      </c>
      <c r="D84" s="245">
        <v>3</v>
      </c>
      <c r="E84" s="246">
        <v>4</v>
      </c>
    </row>
    <row r="85" spans="1:5" ht="16" customHeight="1">
      <c r="A85" s="251" t="s">
        <v>1100</v>
      </c>
      <c r="B85" s="243" t="s">
        <v>1098</v>
      </c>
      <c r="C85" s="244" t="s">
        <v>1042</v>
      </c>
      <c r="D85" s="245">
        <v>2</v>
      </c>
      <c r="E85" s="246">
        <v>4</v>
      </c>
    </row>
    <row r="86" spans="1:5" ht="16" customHeight="1">
      <c r="A86" s="253" t="s">
        <v>1101</v>
      </c>
      <c r="B86" s="243" t="s">
        <v>1098</v>
      </c>
      <c r="C86" s="244" t="s">
        <v>1042</v>
      </c>
      <c r="D86" s="245">
        <v>2</v>
      </c>
      <c r="E86" s="246">
        <v>4</v>
      </c>
    </row>
    <row r="87" spans="1:5" ht="16" customHeight="1">
      <c r="A87" s="247" t="s">
        <v>1102</v>
      </c>
      <c r="B87" s="248" t="s">
        <v>977</v>
      </c>
      <c r="C87" s="252" t="s">
        <v>1064</v>
      </c>
      <c r="D87" s="250">
        <v>1</v>
      </c>
      <c r="E87" s="112">
        <v>5</v>
      </c>
    </row>
    <row r="88" spans="1:5" ht="16" customHeight="1">
      <c r="A88" s="253" t="s">
        <v>1103</v>
      </c>
      <c r="B88" s="243" t="s">
        <v>977</v>
      </c>
      <c r="C88" s="254" t="s">
        <v>1064</v>
      </c>
      <c r="D88" s="250">
        <v>5</v>
      </c>
      <c r="E88" s="246">
        <v>5</v>
      </c>
    </row>
    <row r="89" spans="1:5" ht="16" customHeight="1">
      <c r="A89" s="256" t="s">
        <v>1104</v>
      </c>
      <c r="B89" s="243" t="s">
        <v>977</v>
      </c>
      <c r="C89" s="256" t="s">
        <v>1064</v>
      </c>
      <c r="D89" s="250">
        <v>6</v>
      </c>
      <c r="E89" s="246">
        <v>5</v>
      </c>
    </row>
    <row r="90" spans="1:5" ht="16" customHeight="1">
      <c r="A90" s="251" t="s">
        <v>1105</v>
      </c>
      <c r="B90" s="243" t="s">
        <v>977</v>
      </c>
      <c r="C90" s="244" t="s">
        <v>1064</v>
      </c>
      <c r="D90" s="245">
        <v>3</v>
      </c>
      <c r="E90" s="246">
        <v>5</v>
      </c>
    </row>
    <row r="91" spans="1:5" ht="16" customHeight="1">
      <c r="A91" s="251" t="s">
        <v>1106</v>
      </c>
      <c r="B91" s="243" t="s">
        <v>977</v>
      </c>
      <c r="C91" s="244" t="s">
        <v>1064</v>
      </c>
      <c r="D91" s="245">
        <v>3</v>
      </c>
      <c r="E91" s="246">
        <v>5</v>
      </c>
    </row>
    <row r="92" spans="1:5" ht="16" customHeight="1">
      <c r="A92" s="247" t="s">
        <v>1107</v>
      </c>
      <c r="B92" s="248" t="s">
        <v>979</v>
      </c>
      <c r="C92" s="252" t="s">
        <v>1050</v>
      </c>
      <c r="D92" s="250">
        <v>3</v>
      </c>
      <c r="E92" s="246">
        <v>5</v>
      </c>
    </row>
    <row r="93" spans="1:5" ht="16" customHeight="1">
      <c r="A93" s="253" t="s">
        <v>1108</v>
      </c>
      <c r="B93" s="243" t="s">
        <v>979</v>
      </c>
      <c r="C93" s="244" t="s">
        <v>1050</v>
      </c>
      <c r="D93" s="245">
        <v>6</v>
      </c>
      <c r="E93" s="246">
        <v>5</v>
      </c>
    </row>
    <row r="94" spans="1:5" ht="16" customHeight="1">
      <c r="A94" s="253" t="s">
        <v>1109</v>
      </c>
      <c r="B94" s="243" t="s">
        <v>979</v>
      </c>
      <c r="C94" s="254" t="s">
        <v>1050</v>
      </c>
      <c r="D94" s="245">
        <v>1</v>
      </c>
      <c r="E94" s="246">
        <v>5</v>
      </c>
    </row>
    <row r="95" spans="1:5" ht="16" customHeight="1">
      <c r="A95" s="245" t="s">
        <v>1110</v>
      </c>
      <c r="B95" s="243" t="s">
        <v>979</v>
      </c>
      <c r="C95" s="256" t="s">
        <v>1050</v>
      </c>
      <c r="D95" s="245">
        <v>1</v>
      </c>
      <c r="E95" s="246">
        <v>5</v>
      </c>
    </row>
    <row r="96" spans="1:5" ht="16" customHeight="1">
      <c r="A96" s="251" t="s">
        <v>1111</v>
      </c>
      <c r="B96" s="243" t="s">
        <v>979</v>
      </c>
      <c r="C96" s="244" t="s">
        <v>1050</v>
      </c>
      <c r="D96" s="245">
        <v>1</v>
      </c>
      <c r="E96" s="246">
        <v>6</v>
      </c>
    </row>
    <row r="97" spans="1:5" ht="16" customHeight="1">
      <c r="A97" s="251" t="s">
        <v>1112</v>
      </c>
      <c r="B97" s="243" t="s">
        <v>979</v>
      </c>
      <c r="C97" s="244" t="s">
        <v>1050</v>
      </c>
      <c r="D97" s="245">
        <v>1</v>
      </c>
      <c r="E97" s="246">
        <v>6</v>
      </c>
    </row>
    <row r="98" spans="1:5" ht="16" customHeight="1">
      <c r="A98" s="253" t="s">
        <v>1615</v>
      </c>
      <c r="B98" s="243" t="s">
        <v>979</v>
      </c>
      <c r="C98" s="244" t="s">
        <v>1050</v>
      </c>
      <c r="D98" s="245">
        <v>1</v>
      </c>
      <c r="E98" s="246">
        <v>16</v>
      </c>
    </row>
    <row r="99" spans="1:5" ht="16" customHeight="1">
      <c r="A99" s="247" t="s">
        <v>1113</v>
      </c>
      <c r="B99" s="248" t="s">
        <v>979</v>
      </c>
      <c r="C99" s="252" t="s">
        <v>1050</v>
      </c>
      <c r="D99" s="245">
        <v>2</v>
      </c>
      <c r="E99" s="246">
        <v>5</v>
      </c>
    </row>
    <row r="100" spans="1:5" ht="16" customHeight="1">
      <c r="A100" s="253" t="s">
        <v>1107</v>
      </c>
      <c r="B100" s="243" t="s">
        <v>979</v>
      </c>
      <c r="C100" s="254" t="s">
        <v>1050</v>
      </c>
      <c r="D100" s="250">
        <v>3</v>
      </c>
      <c r="E100" s="246">
        <v>5</v>
      </c>
    </row>
    <row r="101" spans="1:5" ht="16" customHeight="1">
      <c r="A101" s="245" t="s">
        <v>1108</v>
      </c>
      <c r="B101" s="243" t="s">
        <v>979</v>
      </c>
      <c r="C101" s="256" t="s">
        <v>1050</v>
      </c>
      <c r="D101" s="250">
        <v>3</v>
      </c>
      <c r="E101" s="246">
        <v>5</v>
      </c>
    </row>
    <row r="102" spans="1:5" ht="16" customHeight="1">
      <c r="A102" s="251" t="s">
        <v>1109</v>
      </c>
      <c r="B102" s="243" t="s">
        <v>979</v>
      </c>
      <c r="C102" s="244" t="s">
        <v>1050</v>
      </c>
      <c r="D102" s="245">
        <v>2</v>
      </c>
      <c r="E102" s="246">
        <v>5</v>
      </c>
    </row>
    <row r="103" spans="1:5" ht="16" customHeight="1">
      <c r="A103" s="251" t="s">
        <v>1110</v>
      </c>
      <c r="B103" s="243" t="s">
        <v>979</v>
      </c>
      <c r="C103" s="244" t="s">
        <v>1050</v>
      </c>
      <c r="D103" s="245">
        <v>1</v>
      </c>
      <c r="E103" s="246">
        <v>5</v>
      </c>
    </row>
    <row r="104" spans="1:5" ht="16" customHeight="1">
      <c r="A104" s="253" t="s">
        <v>1112</v>
      </c>
      <c r="B104" s="243" t="s">
        <v>979</v>
      </c>
      <c r="C104" s="244" t="s">
        <v>1050</v>
      </c>
      <c r="D104" s="245">
        <v>2</v>
      </c>
      <c r="E104" s="246">
        <v>6</v>
      </c>
    </row>
    <row r="105" spans="1:5" ht="16" customHeight="1">
      <c r="A105" s="253" t="s">
        <v>1616</v>
      </c>
      <c r="B105" s="243" t="s">
        <v>979</v>
      </c>
      <c r="C105" s="244" t="s">
        <v>1050</v>
      </c>
      <c r="D105" s="245">
        <v>1</v>
      </c>
      <c r="E105" s="246">
        <v>16</v>
      </c>
    </row>
    <row r="106" spans="1:5" ht="16" customHeight="1">
      <c r="A106" s="247" t="s">
        <v>1114</v>
      </c>
      <c r="B106" s="248" t="s">
        <v>981</v>
      </c>
      <c r="C106" s="249" t="s">
        <v>1050</v>
      </c>
      <c r="D106" s="250">
        <v>1</v>
      </c>
      <c r="E106" s="112">
        <v>5</v>
      </c>
    </row>
    <row r="107" spans="1:5" ht="16" customHeight="1">
      <c r="A107" s="256" t="s">
        <v>1115</v>
      </c>
      <c r="B107" s="243" t="s">
        <v>981</v>
      </c>
      <c r="C107" s="256" t="s">
        <v>1050</v>
      </c>
      <c r="D107" s="245">
        <v>1</v>
      </c>
      <c r="E107" s="246">
        <v>5</v>
      </c>
    </row>
    <row r="108" spans="1:5" ht="16" customHeight="1">
      <c r="A108" s="251" t="s">
        <v>1116</v>
      </c>
      <c r="B108" s="243" t="s">
        <v>981</v>
      </c>
      <c r="C108" s="244" t="s">
        <v>1050</v>
      </c>
      <c r="D108" s="245">
        <v>1</v>
      </c>
      <c r="E108" s="246">
        <v>5</v>
      </c>
    </row>
    <row r="109" spans="1:5" ht="16" customHeight="1">
      <c r="A109" s="257" t="s">
        <v>1117</v>
      </c>
      <c r="B109" s="248" t="s">
        <v>981</v>
      </c>
      <c r="C109" s="252" t="s">
        <v>1050</v>
      </c>
      <c r="D109" s="250">
        <v>2</v>
      </c>
      <c r="E109" s="112">
        <v>5</v>
      </c>
    </row>
    <row r="110" spans="1:5" ht="16" customHeight="1">
      <c r="A110" s="253" t="s">
        <v>1114</v>
      </c>
      <c r="B110" s="243" t="s">
        <v>981</v>
      </c>
      <c r="C110" s="244" t="s">
        <v>1050</v>
      </c>
      <c r="D110" s="245">
        <v>2</v>
      </c>
      <c r="E110" s="246">
        <v>5</v>
      </c>
    </row>
    <row r="111" spans="1:5" ht="16" customHeight="1">
      <c r="A111" s="253" t="s">
        <v>1118</v>
      </c>
      <c r="B111" s="243" t="s">
        <v>981</v>
      </c>
      <c r="C111" s="244" t="s">
        <v>1050</v>
      </c>
      <c r="D111" s="245">
        <v>4</v>
      </c>
      <c r="E111" s="246">
        <v>5</v>
      </c>
    </row>
    <row r="112" spans="1:5" ht="16" customHeight="1">
      <c r="A112" s="253" t="s">
        <v>1115</v>
      </c>
      <c r="B112" s="243" t="s">
        <v>981</v>
      </c>
      <c r="C112" s="244" t="s">
        <v>1050</v>
      </c>
      <c r="D112" s="245">
        <v>1</v>
      </c>
      <c r="E112" s="246">
        <v>5</v>
      </c>
    </row>
    <row r="113" spans="1:5" ht="16" customHeight="1">
      <c r="A113" s="260" t="s">
        <v>1116</v>
      </c>
      <c r="B113" s="261" t="s">
        <v>981</v>
      </c>
      <c r="C113" s="262" t="s">
        <v>1050</v>
      </c>
      <c r="D113" s="263">
        <v>3</v>
      </c>
      <c r="E113" s="246">
        <v>5</v>
      </c>
    </row>
    <row r="114" spans="1:5" ht="16" customHeight="1">
      <c r="A114" s="260" t="s">
        <v>1119</v>
      </c>
      <c r="B114" s="261" t="s">
        <v>981</v>
      </c>
      <c r="C114" s="262" t="s">
        <v>1050</v>
      </c>
      <c r="D114" s="263">
        <v>1</v>
      </c>
      <c r="E114" s="246">
        <v>6</v>
      </c>
    </row>
    <row r="115" spans="1:5" ht="16" customHeight="1">
      <c r="A115" s="264" t="s">
        <v>1117</v>
      </c>
      <c r="B115" s="265" t="s">
        <v>981</v>
      </c>
      <c r="C115" s="266" t="s">
        <v>1050</v>
      </c>
      <c r="D115" s="263">
        <v>1</v>
      </c>
      <c r="E115" s="246">
        <v>5</v>
      </c>
    </row>
    <row r="116" spans="1:5" ht="16" customHeight="1">
      <c r="A116" s="260" t="s">
        <v>1114</v>
      </c>
      <c r="B116" s="261" t="s">
        <v>981</v>
      </c>
      <c r="C116" s="262" t="s">
        <v>1050</v>
      </c>
      <c r="D116" s="263">
        <v>2</v>
      </c>
      <c r="E116" s="246">
        <v>5</v>
      </c>
    </row>
    <row r="117" spans="1:5" ht="16" customHeight="1">
      <c r="A117" s="260" t="s">
        <v>1118</v>
      </c>
      <c r="B117" s="261" t="s">
        <v>981</v>
      </c>
      <c r="C117" s="262" t="s">
        <v>1050</v>
      </c>
      <c r="D117" s="263">
        <v>1</v>
      </c>
      <c r="E117" s="246">
        <v>5</v>
      </c>
    </row>
    <row r="118" spans="1:5" ht="16" customHeight="1">
      <c r="A118" s="260" t="s">
        <v>1116</v>
      </c>
      <c r="B118" s="261" t="s">
        <v>981</v>
      </c>
      <c r="C118" s="262" t="s">
        <v>1050</v>
      </c>
      <c r="D118" s="263">
        <v>1</v>
      </c>
      <c r="E118" s="246">
        <v>5</v>
      </c>
    </row>
    <row r="119" spans="1:5" ht="16" customHeight="1">
      <c r="A119" s="264" t="s">
        <v>1120</v>
      </c>
      <c r="B119" s="265" t="s">
        <v>983</v>
      </c>
      <c r="C119" s="266" t="s">
        <v>1053</v>
      </c>
      <c r="D119" s="267">
        <v>1</v>
      </c>
      <c r="E119" s="112">
        <v>5</v>
      </c>
    </row>
    <row r="120" spans="1:5">
      <c r="A120" s="260" t="s">
        <v>1121</v>
      </c>
      <c r="B120" s="261" t="s">
        <v>983</v>
      </c>
      <c r="C120" s="262" t="s">
        <v>1053</v>
      </c>
      <c r="D120" s="263">
        <v>1</v>
      </c>
      <c r="E120" s="246">
        <v>5</v>
      </c>
    </row>
    <row r="121" spans="1:5">
      <c r="A121" s="260" t="s">
        <v>1122</v>
      </c>
      <c r="B121" s="261" t="s">
        <v>983</v>
      </c>
      <c r="C121" s="262" t="s">
        <v>1053</v>
      </c>
      <c r="D121" s="263">
        <v>1</v>
      </c>
      <c r="E121" s="246">
        <v>5</v>
      </c>
    </row>
    <row r="122" spans="1:5">
      <c r="A122" s="260" t="s">
        <v>1123</v>
      </c>
      <c r="B122" s="261" t="s">
        <v>983</v>
      </c>
      <c r="C122" s="262" t="s">
        <v>1053</v>
      </c>
      <c r="D122" s="263">
        <v>2</v>
      </c>
      <c r="E122" s="246">
        <v>5</v>
      </c>
    </row>
    <row r="123" spans="1:5">
      <c r="A123" s="260" t="s">
        <v>1124</v>
      </c>
      <c r="B123" s="261" t="s">
        <v>983</v>
      </c>
      <c r="C123" s="262" t="s">
        <v>1053</v>
      </c>
      <c r="D123" s="263">
        <v>1</v>
      </c>
      <c r="E123" s="246">
        <v>6</v>
      </c>
    </row>
    <row r="124" spans="1:5">
      <c r="A124" s="260" t="s">
        <v>1125</v>
      </c>
      <c r="B124" s="261" t="s">
        <v>983</v>
      </c>
      <c r="C124" s="262" t="s">
        <v>1053</v>
      </c>
      <c r="D124" s="263">
        <v>2</v>
      </c>
      <c r="E124" s="246">
        <v>6</v>
      </c>
    </row>
    <row r="125" spans="1:5" ht="14.4">
      <c r="A125" s="264" t="s">
        <v>1120</v>
      </c>
      <c r="B125" s="265" t="s">
        <v>983</v>
      </c>
      <c r="C125" s="266" t="s">
        <v>1053</v>
      </c>
      <c r="D125" s="267">
        <v>1</v>
      </c>
      <c r="E125" s="246">
        <v>5</v>
      </c>
    </row>
    <row r="126" spans="1:5">
      <c r="A126" s="260" t="s">
        <v>1121</v>
      </c>
      <c r="B126" s="261" t="s">
        <v>983</v>
      </c>
      <c r="C126" s="262" t="s">
        <v>1053</v>
      </c>
      <c r="D126" s="263">
        <v>1</v>
      </c>
      <c r="E126" s="246">
        <v>5</v>
      </c>
    </row>
    <row r="127" spans="1:5">
      <c r="A127" s="260" t="s">
        <v>1122</v>
      </c>
      <c r="B127" s="261" t="s">
        <v>983</v>
      </c>
      <c r="C127" s="262" t="s">
        <v>1053</v>
      </c>
      <c r="D127" s="263">
        <v>1</v>
      </c>
      <c r="E127" s="246">
        <v>5</v>
      </c>
    </row>
    <row r="128" spans="1:5">
      <c r="A128" s="260" t="s">
        <v>1126</v>
      </c>
      <c r="B128" s="261" t="s">
        <v>983</v>
      </c>
      <c r="C128" s="262" t="s">
        <v>1053</v>
      </c>
      <c r="D128" s="263">
        <v>1</v>
      </c>
      <c r="E128" s="246">
        <v>5</v>
      </c>
    </row>
    <row r="129" spans="1:5">
      <c r="A129" s="260" t="s">
        <v>1123</v>
      </c>
      <c r="B129" s="261" t="s">
        <v>983</v>
      </c>
      <c r="C129" s="262" t="s">
        <v>1053</v>
      </c>
      <c r="D129" s="263">
        <v>1</v>
      </c>
      <c r="E129" s="246">
        <v>5</v>
      </c>
    </row>
    <row r="130" spans="1:5" ht="14.4">
      <c r="A130" s="264" t="s">
        <v>1127</v>
      </c>
      <c r="B130" s="265" t="s">
        <v>987</v>
      </c>
      <c r="C130" s="266" t="s">
        <v>1042</v>
      </c>
      <c r="D130" s="267">
        <v>4</v>
      </c>
      <c r="E130" s="112">
        <v>5</v>
      </c>
    </row>
    <row r="131" spans="1:5">
      <c r="A131" s="260" t="s">
        <v>1128</v>
      </c>
      <c r="B131" s="261" t="s">
        <v>987</v>
      </c>
      <c r="C131" s="262" t="s">
        <v>1042</v>
      </c>
      <c r="D131" s="263">
        <v>2</v>
      </c>
      <c r="E131" s="246">
        <v>5</v>
      </c>
    </row>
    <row r="132" spans="1:5">
      <c r="A132" s="260" t="s">
        <v>1617</v>
      </c>
      <c r="B132" s="261" t="s">
        <v>987</v>
      </c>
      <c r="C132" s="262" t="s">
        <v>1042</v>
      </c>
      <c r="D132" s="263">
        <v>1</v>
      </c>
      <c r="E132" s="246">
        <v>16</v>
      </c>
    </row>
    <row r="133" spans="1:5">
      <c r="A133" s="260" t="s">
        <v>1129</v>
      </c>
      <c r="B133" s="261" t="s">
        <v>987</v>
      </c>
      <c r="C133" s="262" t="s">
        <v>1042</v>
      </c>
      <c r="D133" s="263">
        <v>1</v>
      </c>
      <c r="E133" s="246">
        <v>6</v>
      </c>
    </row>
    <row r="134" spans="1:5" ht="14.4">
      <c r="A134" s="264" t="s">
        <v>1130</v>
      </c>
      <c r="B134" s="265" t="s">
        <v>987</v>
      </c>
      <c r="C134" s="266" t="s">
        <v>1042</v>
      </c>
      <c r="D134" s="267">
        <v>1</v>
      </c>
      <c r="E134" s="112">
        <v>5</v>
      </c>
    </row>
    <row r="135" spans="1:5">
      <c r="A135" s="260" t="s">
        <v>1131</v>
      </c>
      <c r="B135" s="261" t="s">
        <v>987</v>
      </c>
      <c r="C135" s="262" t="s">
        <v>1042</v>
      </c>
      <c r="D135" s="263">
        <v>1</v>
      </c>
      <c r="E135" s="246">
        <v>5</v>
      </c>
    </row>
    <row r="136" spans="1:5">
      <c r="A136" s="260" t="s">
        <v>1132</v>
      </c>
      <c r="B136" s="261" t="s">
        <v>987</v>
      </c>
      <c r="C136" s="262" t="s">
        <v>1042</v>
      </c>
      <c r="D136" s="263">
        <v>3</v>
      </c>
      <c r="E136" s="246">
        <v>6</v>
      </c>
    </row>
    <row r="137" spans="1:5">
      <c r="A137" s="260" t="s">
        <v>1133</v>
      </c>
      <c r="B137" s="261" t="s">
        <v>987</v>
      </c>
      <c r="C137" s="262" t="s">
        <v>1042</v>
      </c>
      <c r="D137" s="263">
        <v>2</v>
      </c>
      <c r="E137" s="246">
        <v>6</v>
      </c>
    </row>
    <row r="138" spans="1:5">
      <c r="A138" s="260" t="s">
        <v>1134</v>
      </c>
      <c r="B138" s="261" t="s">
        <v>987</v>
      </c>
      <c r="C138" s="262" t="s">
        <v>1042</v>
      </c>
      <c r="D138" s="263">
        <v>1</v>
      </c>
      <c r="E138" s="246">
        <v>6</v>
      </c>
    </row>
    <row r="139" spans="1:5" ht="14.4">
      <c r="A139" s="264" t="s">
        <v>1135</v>
      </c>
      <c r="B139" s="265" t="s">
        <v>989</v>
      </c>
      <c r="C139" s="266" t="s">
        <v>1136</v>
      </c>
      <c r="D139" s="267">
        <v>2</v>
      </c>
      <c r="E139" s="246">
        <v>5</v>
      </c>
    </row>
    <row r="140" spans="1:5">
      <c r="A140" s="260" t="s">
        <v>1137</v>
      </c>
      <c r="B140" s="261" t="s">
        <v>989</v>
      </c>
      <c r="C140" s="262" t="s">
        <v>1087</v>
      </c>
      <c r="D140" s="263">
        <v>2</v>
      </c>
      <c r="E140" s="246">
        <v>5</v>
      </c>
    </row>
    <row r="141" spans="1:5">
      <c r="A141" s="260" t="s">
        <v>1138</v>
      </c>
      <c r="B141" s="261" t="s">
        <v>989</v>
      </c>
      <c r="C141" s="262" t="s">
        <v>1087</v>
      </c>
      <c r="D141" s="263">
        <v>2</v>
      </c>
      <c r="E141" s="246">
        <v>5</v>
      </c>
    </row>
    <row r="142" spans="1:5">
      <c r="A142" s="260" t="s">
        <v>1139</v>
      </c>
      <c r="B142" s="261" t="s">
        <v>989</v>
      </c>
      <c r="C142" s="262" t="s">
        <v>1087</v>
      </c>
      <c r="D142" s="263">
        <v>2</v>
      </c>
      <c r="E142" s="246">
        <v>6</v>
      </c>
    </row>
    <row r="143" spans="1:5">
      <c r="A143" s="260" t="s">
        <v>1140</v>
      </c>
      <c r="B143" s="261" t="s">
        <v>989</v>
      </c>
      <c r="C143" s="262" t="s">
        <v>1087</v>
      </c>
      <c r="D143" s="263">
        <v>2</v>
      </c>
      <c r="E143" s="246">
        <v>6</v>
      </c>
    </row>
    <row r="144" spans="1:5">
      <c r="A144" s="260" t="s">
        <v>1618</v>
      </c>
      <c r="B144" s="261" t="s">
        <v>989</v>
      </c>
      <c r="C144" s="262" t="s">
        <v>1087</v>
      </c>
      <c r="D144" s="263">
        <v>1</v>
      </c>
      <c r="E144" s="246">
        <v>16</v>
      </c>
    </row>
    <row r="145" spans="1:5" ht="14.4">
      <c r="A145" s="264" t="s">
        <v>1135</v>
      </c>
      <c r="B145" s="265" t="s">
        <v>989</v>
      </c>
      <c r="C145" s="266" t="s">
        <v>1087</v>
      </c>
      <c r="D145" s="263">
        <v>2</v>
      </c>
      <c r="E145" s="246">
        <v>5</v>
      </c>
    </row>
    <row r="146" spans="1:5">
      <c r="A146" s="260" t="s">
        <v>1141</v>
      </c>
      <c r="B146" s="261" t="s">
        <v>989</v>
      </c>
      <c r="C146" s="262" t="s">
        <v>1087</v>
      </c>
      <c r="D146" s="263">
        <v>1</v>
      </c>
      <c r="E146" s="246">
        <v>5</v>
      </c>
    </row>
    <row r="147" spans="1:5">
      <c r="A147" s="260" t="s">
        <v>1138</v>
      </c>
      <c r="B147" s="261" t="s">
        <v>989</v>
      </c>
      <c r="C147" s="262" t="s">
        <v>1087</v>
      </c>
      <c r="D147" s="263">
        <v>1</v>
      </c>
      <c r="E147" s="246">
        <v>5</v>
      </c>
    </row>
    <row r="148" spans="1:5">
      <c r="A148" s="260" t="s">
        <v>1142</v>
      </c>
      <c r="B148" s="261" t="s">
        <v>989</v>
      </c>
      <c r="C148" s="262" t="s">
        <v>1087</v>
      </c>
      <c r="D148" s="263">
        <v>1</v>
      </c>
      <c r="E148" s="246">
        <v>5</v>
      </c>
    </row>
    <row r="149" spans="1:5">
      <c r="A149" s="260" t="s">
        <v>1139</v>
      </c>
      <c r="B149" s="261" t="s">
        <v>989</v>
      </c>
      <c r="C149" s="262" t="s">
        <v>1087</v>
      </c>
      <c r="D149" s="263">
        <v>1</v>
      </c>
      <c r="E149" s="246">
        <v>6</v>
      </c>
    </row>
    <row r="150" spans="1:5">
      <c r="A150" s="260" t="s">
        <v>1140</v>
      </c>
      <c r="B150" s="261" t="s">
        <v>989</v>
      </c>
      <c r="C150" s="262" t="s">
        <v>1087</v>
      </c>
      <c r="D150" s="263">
        <v>4</v>
      </c>
      <c r="E150" s="246">
        <v>6</v>
      </c>
    </row>
    <row r="151" spans="1:5" ht="14.4">
      <c r="A151" s="264" t="s">
        <v>1143</v>
      </c>
      <c r="B151" s="265" t="s">
        <v>985</v>
      </c>
      <c r="C151" s="266" t="s">
        <v>1087</v>
      </c>
      <c r="D151" s="263">
        <v>1</v>
      </c>
      <c r="E151" s="246">
        <v>6</v>
      </c>
    </row>
    <row r="152" spans="1:5">
      <c r="A152" s="260" t="s">
        <v>1619</v>
      </c>
      <c r="B152" s="261" t="s">
        <v>985</v>
      </c>
      <c r="C152" s="262" t="s">
        <v>1087</v>
      </c>
      <c r="D152" s="263">
        <v>1</v>
      </c>
      <c r="E152" s="246">
        <v>16</v>
      </c>
    </row>
    <row r="153" spans="1:5" ht="14.4">
      <c r="A153" s="264" t="s">
        <v>1144</v>
      </c>
      <c r="B153" s="265" t="s">
        <v>985</v>
      </c>
      <c r="C153" s="266" t="s">
        <v>1087</v>
      </c>
      <c r="D153" s="263">
        <v>2</v>
      </c>
      <c r="E153" s="246">
        <v>6</v>
      </c>
    </row>
    <row r="154" spans="1:5">
      <c r="A154" s="260" t="s">
        <v>1143</v>
      </c>
      <c r="B154" s="261" t="s">
        <v>985</v>
      </c>
      <c r="C154" s="262" t="s">
        <v>1087</v>
      </c>
      <c r="D154" s="263">
        <v>1</v>
      </c>
      <c r="E154" s="246">
        <v>6</v>
      </c>
    </row>
    <row r="155" spans="1:5">
      <c r="A155" s="260" t="s">
        <v>1145</v>
      </c>
      <c r="B155" s="261" t="s">
        <v>985</v>
      </c>
      <c r="C155" s="262" t="s">
        <v>1087</v>
      </c>
      <c r="D155" s="263">
        <v>1</v>
      </c>
      <c r="E155" s="246">
        <v>6</v>
      </c>
    </row>
    <row r="156" spans="1:5" ht="14.4">
      <c r="A156" s="264" t="s">
        <v>1146</v>
      </c>
      <c r="B156" s="265" t="s">
        <v>993</v>
      </c>
      <c r="C156" s="266" t="s">
        <v>1064</v>
      </c>
      <c r="D156" s="267">
        <v>2</v>
      </c>
      <c r="E156" s="112">
        <v>7</v>
      </c>
    </row>
    <row r="157" spans="1:5">
      <c r="A157" s="260" t="s">
        <v>1147</v>
      </c>
      <c r="B157" s="261" t="s">
        <v>993</v>
      </c>
      <c r="C157" s="262" t="s">
        <v>1064</v>
      </c>
      <c r="D157" s="263">
        <v>1</v>
      </c>
      <c r="E157" s="246">
        <v>7</v>
      </c>
    </row>
    <row r="158" spans="1:5">
      <c r="A158" s="260" t="s">
        <v>1148</v>
      </c>
      <c r="B158" s="261" t="s">
        <v>993</v>
      </c>
      <c r="C158" s="262" t="s">
        <v>1064</v>
      </c>
      <c r="D158" s="263">
        <v>1</v>
      </c>
      <c r="E158" s="246">
        <v>7</v>
      </c>
    </row>
    <row r="159" spans="1:5">
      <c r="A159" s="260" t="s">
        <v>1149</v>
      </c>
      <c r="B159" s="261" t="s">
        <v>993</v>
      </c>
      <c r="C159" s="262" t="s">
        <v>1064</v>
      </c>
      <c r="D159" s="263">
        <v>2</v>
      </c>
      <c r="E159" s="246">
        <v>7</v>
      </c>
    </row>
    <row r="160" spans="1:5">
      <c r="A160" s="260" t="s">
        <v>1150</v>
      </c>
      <c r="B160" s="261" t="s">
        <v>993</v>
      </c>
      <c r="C160" s="262" t="s">
        <v>1064</v>
      </c>
      <c r="D160" s="263">
        <v>2</v>
      </c>
      <c r="E160" s="246">
        <v>9</v>
      </c>
    </row>
    <row r="161" spans="1:5">
      <c r="A161" s="260" t="s">
        <v>1151</v>
      </c>
      <c r="B161" s="261" t="s">
        <v>993</v>
      </c>
      <c r="C161" s="262" t="s">
        <v>1064</v>
      </c>
      <c r="D161" s="263">
        <v>1</v>
      </c>
      <c r="E161" s="246">
        <v>9</v>
      </c>
    </row>
    <row r="162" spans="1:5">
      <c r="A162" s="260" t="s">
        <v>1152</v>
      </c>
      <c r="B162" s="261" t="s">
        <v>993</v>
      </c>
      <c r="C162" s="262" t="s">
        <v>1064</v>
      </c>
      <c r="D162" s="263">
        <v>1</v>
      </c>
      <c r="E162" s="246">
        <v>9</v>
      </c>
    </row>
    <row r="163" spans="1:5" ht="14.4">
      <c r="A163" s="264" t="s">
        <v>1153</v>
      </c>
      <c r="B163" s="265" t="s">
        <v>995</v>
      </c>
      <c r="C163" s="266" t="s">
        <v>1087</v>
      </c>
      <c r="D163" s="267">
        <v>2</v>
      </c>
      <c r="E163" s="112">
        <v>7</v>
      </c>
    </row>
    <row r="164" spans="1:5">
      <c r="A164" s="260" t="s">
        <v>1154</v>
      </c>
      <c r="B164" s="261" t="s">
        <v>995</v>
      </c>
      <c r="C164" s="262" t="s">
        <v>1087</v>
      </c>
      <c r="D164" s="263">
        <v>3</v>
      </c>
      <c r="E164" s="246">
        <v>7</v>
      </c>
    </row>
    <row r="165" spans="1:5">
      <c r="A165" s="260" t="s">
        <v>1155</v>
      </c>
      <c r="B165" s="261" t="s">
        <v>995</v>
      </c>
      <c r="C165" s="262" t="s">
        <v>1087</v>
      </c>
      <c r="D165" s="263">
        <v>3</v>
      </c>
      <c r="E165" s="246">
        <v>7</v>
      </c>
    </row>
    <row r="166" spans="1:5">
      <c r="A166" s="260" t="s">
        <v>1156</v>
      </c>
      <c r="B166" s="261" t="s">
        <v>995</v>
      </c>
      <c r="C166" s="262" t="s">
        <v>1087</v>
      </c>
      <c r="D166" s="263">
        <v>1</v>
      </c>
      <c r="E166" s="246">
        <v>7</v>
      </c>
    </row>
    <row r="167" spans="1:5">
      <c r="A167" s="260" t="s">
        <v>1157</v>
      </c>
      <c r="B167" s="261" t="s">
        <v>995</v>
      </c>
      <c r="C167" s="262" t="s">
        <v>1087</v>
      </c>
      <c r="D167" s="263">
        <v>2</v>
      </c>
      <c r="E167" s="246">
        <v>7</v>
      </c>
    </row>
    <row r="168" spans="1:5" ht="14.4">
      <c r="A168" s="264" t="s">
        <v>1158</v>
      </c>
      <c r="B168" s="265" t="s">
        <v>991</v>
      </c>
      <c r="C168" s="266" t="s">
        <v>1159</v>
      </c>
      <c r="D168" s="263">
        <v>2</v>
      </c>
      <c r="E168" s="246">
        <v>7</v>
      </c>
    </row>
    <row r="169" spans="1:5">
      <c r="A169" s="260" t="s">
        <v>1160</v>
      </c>
      <c r="B169" s="261" t="s">
        <v>991</v>
      </c>
      <c r="C169" s="262" t="s">
        <v>1159</v>
      </c>
      <c r="D169" s="263">
        <v>4</v>
      </c>
      <c r="E169" s="246">
        <v>7</v>
      </c>
    </row>
    <row r="170" spans="1:5">
      <c r="A170" s="260" t="s">
        <v>1161</v>
      </c>
      <c r="B170" s="261" t="s">
        <v>991</v>
      </c>
      <c r="C170" s="262" t="s">
        <v>1159</v>
      </c>
      <c r="D170" s="263">
        <v>4</v>
      </c>
      <c r="E170" s="246">
        <v>7</v>
      </c>
    </row>
    <row r="171" spans="1:5">
      <c r="A171" s="260" t="s">
        <v>1162</v>
      </c>
      <c r="B171" s="261" t="s">
        <v>991</v>
      </c>
      <c r="C171" s="262" t="s">
        <v>1159</v>
      </c>
      <c r="D171" s="263">
        <v>2</v>
      </c>
      <c r="E171" s="246">
        <v>7</v>
      </c>
    </row>
    <row r="172" spans="1:5">
      <c r="A172" s="260" t="s">
        <v>1163</v>
      </c>
      <c r="B172" s="261" t="s">
        <v>991</v>
      </c>
      <c r="C172" s="262" t="s">
        <v>1159</v>
      </c>
      <c r="D172" s="263">
        <v>1</v>
      </c>
      <c r="E172" s="246">
        <v>7</v>
      </c>
    </row>
    <row r="173" spans="1:5">
      <c r="A173" s="260" t="s">
        <v>1164</v>
      </c>
      <c r="B173" s="261" t="s">
        <v>991</v>
      </c>
      <c r="C173" s="262" t="s">
        <v>1159</v>
      </c>
      <c r="D173" s="263">
        <v>1</v>
      </c>
      <c r="E173" s="246">
        <v>9</v>
      </c>
    </row>
    <row r="174" spans="1:5" ht="14.4">
      <c r="A174" s="264" t="s">
        <v>1165</v>
      </c>
      <c r="B174" s="265" t="s">
        <v>1020</v>
      </c>
      <c r="C174" s="266" t="s">
        <v>1087</v>
      </c>
      <c r="D174" s="267">
        <v>1</v>
      </c>
      <c r="E174" s="112">
        <v>9</v>
      </c>
    </row>
    <row r="175" spans="1:5" ht="14.4">
      <c r="A175" s="264" t="s">
        <v>1166</v>
      </c>
      <c r="B175" s="265" t="s">
        <v>998</v>
      </c>
      <c r="C175" s="266" t="s">
        <v>1087</v>
      </c>
      <c r="D175" s="263">
        <v>1</v>
      </c>
      <c r="E175" s="246">
        <v>8</v>
      </c>
    </row>
    <row r="176" spans="1:5">
      <c r="A176" s="260" t="s">
        <v>1167</v>
      </c>
      <c r="B176" s="261" t="s">
        <v>998</v>
      </c>
      <c r="C176" s="262" t="s">
        <v>1087</v>
      </c>
      <c r="D176" s="263">
        <v>2</v>
      </c>
      <c r="E176" s="246">
        <v>9</v>
      </c>
    </row>
    <row r="177" spans="1:5">
      <c r="A177" s="260" t="s">
        <v>1168</v>
      </c>
      <c r="B177" s="261" t="s">
        <v>998</v>
      </c>
      <c r="C177" s="262" t="s">
        <v>1087</v>
      </c>
      <c r="D177" s="263">
        <v>1</v>
      </c>
      <c r="E177" s="246">
        <v>9</v>
      </c>
    </row>
    <row r="178" spans="1:5">
      <c r="A178" s="260" t="s">
        <v>1169</v>
      </c>
      <c r="B178" s="261" t="s">
        <v>998</v>
      </c>
      <c r="C178" s="262" t="s">
        <v>1087</v>
      </c>
      <c r="D178" s="263">
        <v>2</v>
      </c>
      <c r="E178" s="246">
        <v>9</v>
      </c>
    </row>
    <row r="179" spans="1:5" ht="14.4">
      <c r="A179" s="264" t="s">
        <v>1170</v>
      </c>
      <c r="B179" s="265" t="s">
        <v>998</v>
      </c>
      <c r="C179" s="266" t="s">
        <v>1087</v>
      </c>
      <c r="D179" s="263">
        <v>1</v>
      </c>
      <c r="E179" s="246">
        <v>8</v>
      </c>
    </row>
    <row r="180" spans="1:5">
      <c r="A180" s="260" t="s">
        <v>1620</v>
      </c>
      <c r="B180" s="261" t="s">
        <v>998</v>
      </c>
      <c r="C180" s="262" t="s">
        <v>1087</v>
      </c>
      <c r="D180" s="263">
        <v>1</v>
      </c>
      <c r="E180" s="246">
        <v>16</v>
      </c>
    </row>
    <row r="181" spans="1:5">
      <c r="A181" s="260" t="s">
        <v>1168</v>
      </c>
      <c r="B181" s="261" t="s">
        <v>998</v>
      </c>
      <c r="C181" s="262" t="s">
        <v>1087</v>
      </c>
      <c r="D181" s="263">
        <v>1</v>
      </c>
      <c r="E181" s="246">
        <v>9</v>
      </c>
    </row>
    <row r="182" spans="1:5">
      <c r="A182" s="260" t="s">
        <v>1171</v>
      </c>
      <c r="B182" s="261" t="s">
        <v>998</v>
      </c>
      <c r="C182" s="262" t="s">
        <v>1087</v>
      </c>
      <c r="D182" s="263">
        <v>1</v>
      </c>
      <c r="E182" s="246">
        <v>9</v>
      </c>
    </row>
    <row r="183" spans="1:5">
      <c r="A183" s="260" t="s">
        <v>1169</v>
      </c>
      <c r="B183" s="261" t="s">
        <v>998</v>
      </c>
      <c r="C183" s="262" t="s">
        <v>1087</v>
      </c>
      <c r="D183" s="263">
        <v>2</v>
      </c>
      <c r="E183" s="246">
        <v>9</v>
      </c>
    </row>
    <row r="184" spans="1:5" ht="14.4">
      <c r="A184" s="264" t="s">
        <v>1172</v>
      </c>
      <c r="B184" s="265" t="s">
        <v>1000</v>
      </c>
      <c r="C184" s="266" t="s">
        <v>1159</v>
      </c>
      <c r="D184" s="263">
        <v>2</v>
      </c>
      <c r="E184" s="246">
        <v>8</v>
      </c>
    </row>
    <row r="185" spans="1:5">
      <c r="A185" s="260" t="s">
        <v>1173</v>
      </c>
      <c r="B185" s="261" t="s">
        <v>1000</v>
      </c>
      <c r="C185" s="262" t="s">
        <v>1159</v>
      </c>
      <c r="D185" s="263">
        <v>2</v>
      </c>
      <c r="E185" s="246">
        <v>8</v>
      </c>
    </row>
    <row r="186" spans="1:5">
      <c r="A186" s="260" t="s">
        <v>1174</v>
      </c>
      <c r="B186" s="261" t="s">
        <v>1000</v>
      </c>
      <c r="C186" s="262" t="s">
        <v>1159</v>
      </c>
      <c r="D186" s="263">
        <v>1</v>
      </c>
      <c r="E186" s="246">
        <v>8</v>
      </c>
    </row>
    <row r="187" spans="1:5">
      <c r="A187" s="260" t="s">
        <v>1175</v>
      </c>
      <c r="B187" s="261" t="s">
        <v>1000</v>
      </c>
      <c r="C187" s="262" t="s">
        <v>1159</v>
      </c>
      <c r="D187" s="263">
        <v>2</v>
      </c>
      <c r="E187" s="246">
        <v>9</v>
      </c>
    </row>
    <row r="188" spans="1:5">
      <c r="A188" s="260" t="s">
        <v>1176</v>
      </c>
      <c r="B188" s="261" t="s">
        <v>1000</v>
      </c>
      <c r="C188" s="262" t="s">
        <v>1159</v>
      </c>
      <c r="D188" s="263">
        <v>1</v>
      </c>
      <c r="E188" s="246">
        <v>9</v>
      </c>
    </row>
    <row r="189" spans="1:5" ht="14.4">
      <c r="A189" s="264" t="s">
        <v>1177</v>
      </c>
      <c r="B189" s="265" t="s">
        <v>1004</v>
      </c>
      <c r="C189" s="266" t="s">
        <v>1159</v>
      </c>
      <c r="D189" s="267">
        <v>1</v>
      </c>
      <c r="E189" s="268">
        <v>8</v>
      </c>
    </row>
    <row r="190" spans="1:5">
      <c r="A190" s="260" t="s">
        <v>1178</v>
      </c>
      <c r="B190" s="261" t="s">
        <v>1004</v>
      </c>
      <c r="C190" s="262" t="s">
        <v>1159</v>
      </c>
      <c r="D190" s="263">
        <v>1</v>
      </c>
      <c r="E190" s="246">
        <v>8</v>
      </c>
    </row>
    <row r="191" spans="1:5">
      <c r="A191" s="260" t="s">
        <v>1179</v>
      </c>
      <c r="B191" s="261" t="s">
        <v>1004</v>
      </c>
      <c r="C191" s="262" t="s">
        <v>1159</v>
      </c>
      <c r="D191" s="263">
        <v>2</v>
      </c>
      <c r="E191" s="246">
        <v>8</v>
      </c>
    </row>
    <row r="192" spans="1:5">
      <c r="A192" s="260" t="s">
        <v>1180</v>
      </c>
      <c r="B192" s="261" t="s">
        <v>1004</v>
      </c>
      <c r="C192" s="262" t="s">
        <v>1159</v>
      </c>
      <c r="D192" s="263">
        <v>1</v>
      </c>
      <c r="E192" s="246">
        <v>8</v>
      </c>
    </row>
    <row r="193" spans="1:5">
      <c r="A193" s="260" t="s">
        <v>1181</v>
      </c>
      <c r="B193" s="261" t="s">
        <v>1004</v>
      </c>
      <c r="C193" s="262" t="s">
        <v>1159</v>
      </c>
      <c r="D193" s="263">
        <v>1</v>
      </c>
      <c r="E193" s="246">
        <v>8</v>
      </c>
    </row>
    <row r="194" spans="1:5">
      <c r="A194" s="260" t="s">
        <v>1182</v>
      </c>
      <c r="B194" s="261" t="s">
        <v>1004</v>
      </c>
      <c r="C194" s="262" t="s">
        <v>1159</v>
      </c>
      <c r="D194" s="263">
        <v>1</v>
      </c>
      <c r="E194" s="246">
        <v>9</v>
      </c>
    </row>
    <row r="195" spans="1:5">
      <c r="A195" s="260" t="s">
        <v>1183</v>
      </c>
      <c r="B195" s="261" t="s">
        <v>1004</v>
      </c>
      <c r="C195" s="262" t="s">
        <v>1159</v>
      </c>
      <c r="D195" s="263">
        <v>1</v>
      </c>
      <c r="E195" s="246">
        <v>9</v>
      </c>
    </row>
    <row r="196" spans="1:5">
      <c r="A196" s="260" t="s">
        <v>1184</v>
      </c>
      <c r="B196" s="261" t="s">
        <v>1004</v>
      </c>
      <c r="C196" s="262" t="s">
        <v>1159</v>
      </c>
      <c r="D196" s="263">
        <v>1</v>
      </c>
      <c r="E196" s="246">
        <v>9</v>
      </c>
    </row>
    <row r="197" spans="1:5">
      <c r="A197" s="260" t="s">
        <v>1185</v>
      </c>
      <c r="B197" s="261" t="s">
        <v>1004</v>
      </c>
      <c r="C197" s="262" t="s">
        <v>1159</v>
      </c>
      <c r="D197" s="263">
        <v>1</v>
      </c>
      <c r="E197" s="246">
        <v>9</v>
      </c>
    </row>
    <row r="198" spans="1:5" ht="14.4">
      <c r="A198" s="264" t="s">
        <v>1186</v>
      </c>
      <c r="B198" s="265" t="s">
        <v>1002</v>
      </c>
      <c r="C198" s="266" t="s">
        <v>1087</v>
      </c>
      <c r="D198" s="263">
        <v>1</v>
      </c>
      <c r="E198" s="246">
        <v>8</v>
      </c>
    </row>
    <row r="199" spans="1:5">
      <c r="A199" s="260" t="s">
        <v>1187</v>
      </c>
      <c r="B199" s="261" t="s">
        <v>1002</v>
      </c>
      <c r="C199" s="262" t="s">
        <v>1087</v>
      </c>
      <c r="D199" s="263">
        <v>1</v>
      </c>
      <c r="E199" s="246">
        <v>8</v>
      </c>
    </row>
    <row r="200" spans="1:5">
      <c r="A200" s="260" t="s">
        <v>1188</v>
      </c>
      <c r="B200" s="261" t="s">
        <v>1002</v>
      </c>
      <c r="C200" s="262" t="s">
        <v>1087</v>
      </c>
      <c r="D200" s="263">
        <v>1</v>
      </c>
      <c r="E200" s="246">
        <v>9</v>
      </c>
    </row>
    <row r="201" spans="1:5" ht="14.4">
      <c r="A201" s="264" t="s">
        <v>1189</v>
      </c>
      <c r="B201" s="265" t="s">
        <v>1006</v>
      </c>
      <c r="C201" s="266" t="s">
        <v>1075</v>
      </c>
      <c r="D201" s="267">
        <v>1</v>
      </c>
      <c r="E201" s="268">
        <v>8</v>
      </c>
    </row>
    <row r="202" spans="1:5">
      <c r="A202" s="260" t="s">
        <v>1190</v>
      </c>
      <c r="B202" s="261" t="s">
        <v>1006</v>
      </c>
      <c r="C202" s="262" t="s">
        <v>1075</v>
      </c>
      <c r="D202" s="263">
        <v>1</v>
      </c>
      <c r="E202" s="246">
        <v>8</v>
      </c>
    </row>
    <row r="203" spans="1:5">
      <c r="A203" s="260" t="s">
        <v>1191</v>
      </c>
      <c r="B203" s="261" t="s">
        <v>1006</v>
      </c>
      <c r="C203" s="262" t="s">
        <v>1075</v>
      </c>
      <c r="D203" s="263">
        <v>1</v>
      </c>
      <c r="E203" s="246">
        <v>8</v>
      </c>
    </row>
    <row r="204" spans="1:5">
      <c r="A204" s="260" t="s">
        <v>1192</v>
      </c>
      <c r="B204" s="261" t="s">
        <v>1006</v>
      </c>
      <c r="C204" s="262" t="s">
        <v>1075</v>
      </c>
      <c r="D204" s="263">
        <v>1</v>
      </c>
      <c r="E204" s="246">
        <v>9</v>
      </c>
    </row>
    <row r="205" spans="1:5">
      <c r="A205" s="260" t="s">
        <v>1193</v>
      </c>
      <c r="B205" s="261" t="s">
        <v>1006</v>
      </c>
      <c r="C205" s="262" t="s">
        <v>1075</v>
      </c>
      <c r="D205" s="263">
        <v>2</v>
      </c>
      <c r="E205" s="246">
        <v>9</v>
      </c>
    </row>
    <row r="206" spans="1:5">
      <c r="A206" s="260" t="s">
        <v>1194</v>
      </c>
      <c r="B206" s="261" t="s">
        <v>1006</v>
      </c>
      <c r="C206" s="262" t="s">
        <v>1075</v>
      </c>
      <c r="D206" s="263">
        <v>2</v>
      </c>
      <c r="E206" s="246">
        <v>9</v>
      </c>
    </row>
    <row r="207" spans="1:5">
      <c r="A207" s="260" t="s">
        <v>1195</v>
      </c>
      <c r="B207" s="261" t="s">
        <v>1006</v>
      </c>
      <c r="C207" s="262" t="s">
        <v>1075</v>
      </c>
      <c r="D207" s="263">
        <v>1</v>
      </c>
      <c r="E207" s="246">
        <v>9</v>
      </c>
    </row>
    <row r="208" spans="1:5">
      <c r="A208" s="260" t="s">
        <v>1196</v>
      </c>
      <c r="B208" s="261" t="s">
        <v>1006</v>
      </c>
      <c r="C208" s="262" t="s">
        <v>1075</v>
      </c>
      <c r="D208" s="263">
        <v>1</v>
      </c>
      <c r="E208" s="246">
        <v>9</v>
      </c>
    </row>
    <row r="209" spans="1:5" ht="14.4">
      <c r="A209" s="264" t="s">
        <v>1197</v>
      </c>
      <c r="B209" s="265" t="s">
        <v>1008</v>
      </c>
      <c r="C209" s="266" t="s">
        <v>1198</v>
      </c>
      <c r="D209" s="263">
        <v>1</v>
      </c>
      <c r="E209" s="246">
        <v>8</v>
      </c>
    </row>
    <row r="210" spans="1:5">
      <c r="A210" s="260" t="s">
        <v>1199</v>
      </c>
      <c r="B210" s="261" t="s">
        <v>1008</v>
      </c>
      <c r="C210" s="262" t="s">
        <v>1198</v>
      </c>
      <c r="D210" s="263">
        <v>1</v>
      </c>
      <c r="E210" s="246">
        <v>8</v>
      </c>
    </row>
    <row r="211" spans="1:5">
      <c r="A211" s="260" t="s">
        <v>1200</v>
      </c>
      <c r="B211" s="261" t="s">
        <v>1008</v>
      </c>
      <c r="C211" s="262" t="s">
        <v>1198</v>
      </c>
      <c r="D211" s="263">
        <v>1</v>
      </c>
      <c r="E211" s="246">
        <v>9</v>
      </c>
    </row>
    <row r="212" spans="1:5" ht="14.4">
      <c r="A212" s="264" t="s">
        <v>1201</v>
      </c>
      <c r="B212" s="265" t="s">
        <v>1202</v>
      </c>
      <c r="C212" s="266" t="s">
        <v>1053</v>
      </c>
      <c r="D212" s="267">
        <v>4</v>
      </c>
      <c r="E212" s="268">
        <v>10</v>
      </c>
    </row>
    <row r="213" spans="1:5">
      <c r="A213" s="260" t="s">
        <v>1203</v>
      </c>
      <c r="B213" s="261" t="s">
        <v>1202</v>
      </c>
      <c r="C213" s="262" t="s">
        <v>1053</v>
      </c>
      <c r="D213" s="263">
        <v>7</v>
      </c>
      <c r="E213" s="246">
        <v>10</v>
      </c>
    </row>
    <row r="214" spans="1:5">
      <c r="A214" s="260" t="s">
        <v>1204</v>
      </c>
      <c r="B214" s="261" t="s">
        <v>1202</v>
      </c>
      <c r="C214" s="262" t="s">
        <v>1053</v>
      </c>
      <c r="D214" s="263">
        <v>9</v>
      </c>
      <c r="E214" s="246">
        <v>10</v>
      </c>
    </row>
    <row r="215" spans="1:5">
      <c r="A215" s="260" t="s">
        <v>1205</v>
      </c>
      <c r="B215" s="261" t="s">
        <v>1202</v>
      </c>
      <c r="C215" s="262" t="s">
        <v>1053</v>
      </c>
      <c r="D215" s="263">
        <v>2</v>
      </c>
      <c r="E215" s="246">
        <v>10</v>
      </c>
    </row>
    <row r="216" spans="1:5">
      <c r="A216" s="260" t="s">
        <v>1206</v>
      </c>
      <c r="B216" s="261" t="s">
        <v>1202</v>
      </c>
      <c r="C216" s="262" t="s">
        <v>1053</v>
      </c>
      <c r="D216" s="263">
        <v>2</v>
      </c>
      <c r="E216" s="246">
        <v>10</v>
      </c>
    </row>
    <row r="217" spans="1:5" ht="14.4">
      <c r="A217" s="264" t="s">
        <v>1201</v>
      </c>
      <c r="B217" s="265" t="s">
        <v>1202</v>
      </c>
      <c r="C217" s="266" t="s">
        <v>1053</v>
      </c>
      <c r="D217" s="267">
        <v>2</v>
      </c>
      <c r="E217" s="268">
        <v>10</v>
      </c>
    </row>
    <row r="218" spans="1:5">
      <c r="A218" s="260" t="s">
        <v>1203</v>
      </c>
      <c r="B218" s="261" t="s">
        <v>1202</v>
      </c>
      <c r="C218" s="262" t="s">
        <v>1053</v>
      </c>
      <c r="D218" s="263">
        <v>5</v>
      </c>
      <c r="E218" s="246">
        <v>10</v>
      </c>
    </row>
    <row r="219" spans="1:5">
      <c r="A219" s="260" t="s">
        <v>1204</v>
      </c>
      <c r="B219" s="261" t="s">
        <v>1202</v>
      </c>
      <c r="C219" s="262" t="s">
        <v>1053</v>
      </c>
      <c r="D219" s="263">
        <v>8</v>
      </c>
      <c r="E219" s="246">
        <v>10</v>
      </c>
    </row>
    <row r="220" spans="1:5">
      <c r="A220" s="260" t="s">
        <v>1205</v>
      </c>
      <c r="B220" s="261" t="s">
        <v>1202</v>
      </c>
      <c r="C220" s="262" t="s">
        <v>1053</v>
      </c>
      <c r="D220" s="263">
        <v>2</v>
      </c>
      <c r="E220" s="246">
        <v>10</v>
      </c>
    </row>
    <row r="221" spans="1:5">
      <c r="A221" s="260" t="s">
        <v>1206</v>
      </c>
      <c r="B221" s="261" t="s">
        <v>1202</v>
      </c>
      <c r="C221" s="262" t="s">
        <v>1053</v>
      </c>
      <c r="D221" s="263">
        <v>1</v>
      </c>
      <c r="E221" s="246">
        <v>10</v>
      </c>
    </row>
    <row r="222" spans="1:5" ht="14.4">
      <c r="A222" s="264" t="s">
        <v>1621</v>
      </c>
      <c r="B222" s="265" t="s">
        <v>1207</v>
      </c>
      <c r="C222" s="266" t="s">
        <v>1050</v>
      </c>
      <c r="D222" s="267">
        <v>1</v>
      </c>
      <c r="E222" s="268">
        <v>16</v>
      </c>
    </row>
    <row r="223" spans="1:5" ht="14.4">
      <c r="A223" s="264" t="s">
        <v>1208</v>
      </c>
      <c r="B223" s="265" t="s">
        <v>1207</v>
      </c>
      <c r="C223" s="266" t="s">
        <v>1050</v>
      </c>
      <c r="D223" s="267">
        <v>1</v>
      </c>
      <c r="E223" s="268">
        <v>10</v>
      </c>
    </row>
    <row r="224" spans="1:5" ht="14.4">
      <c r="A224" s="264" t="s">
        <v>1209</v>
      </c>
      <c r="B224" s="265" t="s">
        <v>1210</v>
      </c>
      <c r="C224" s="266" t="s">
        <v>1159</v>
      </c>
      <c r="D224" s="267">
        <v>2</v>
      </c>
      <c r="E224" s="268">
        <v>10</v>
      </c>
    </row>
    <row r="225" spans="1:5">
      <c r="A225" s="260" t="s">
        <v>1211</v>
      </c>
      <c r="B225" s="261" t="s">
        <v>1210</v>
      </c>
      <c r="C225" s="262" t="s">
        <v>1159</v>
      </c>
      <c r="D225" s="263">
        <v>1</v>
      </c>
      <c r="E225" s="246">
        <v>10</v>
      </c>
    </row>
    <row r="226" spans="1:5" ht="14.4">
      <c r="A226" s="264" t="s">
        <v>1212</v>
      </c>
      <c r="B226" s="265" t="s">
        <v>1210</v>
      </c>
      <c r="C226" s="266" t="s">
        <v>1159</v>
      </c>
      <c r="D226" s="267">
        <v>1</v>
      </c>
      <c r="E226" s="268">
        <v>10</v>
      </c>
    </row>
    <row r="227" spans="1:5">
      <c r="A227" s="260" t="s">
        <v>1213</v>
      </c>
      <c r="B227" s="261" t="s">
        <v>1210</v>
      </c>
      <c r="C227" s="262" t="s">
        <v>1159</v>
      </c>
      <c r="D227" s="263">
        <v>1</v>
      </c>
      <c r="E227" s="246">
        <v>10</v>
      </c>
    </row>
    <row r="228" spans="1:5">
      <c r="A228" s="260" t="s">
        <v>1209</v>
      </c>
      <c r="B228" s="261" t="s">
        <v>1210</v>
      </c>
      <c r="C228" s="262" t="s">
        <v>1159</v>
      </c>
      <c r="D228" s="263">
        <v>2</v>
      </c>
      <c r="E228" s="246">
        <v>10</v>
      </c>
    </row>
    <row r="229" spans="1:5" ht="14.4">
      <c r="A229" s="264" t="s">
        <v>1214</v>
      </c>
      <c r="B229" s="265" t="s">
        <v>1215</v>
      </c>
      <c r="C229" s="266" t="s">
        <v>1087</v>
      </c>
      <c r="D229" s="267">
        <v>1</v>
      </c>
      <c r="E229" s="268">
        <v>11</v>
      </c>
    </row>
    <row r="230" spans="1:5" ht="14.4">
      <c r="A230" s="264" t="s">
        <v>1216</v>
      </c>
      <c r="B230" s="265" t="s">
        <v>1217</v>
      </c>
      <c r="C230" s="266" t="s">
        <v>1087</v>
      </c>
      <c r="D230" s="267">
        <v>1</v>
      </c>
      <c r="E230" s="268">
        <v>11</v>
      </c>
    </row>
    <row r="231" spans="1:5" ht="14.4">
      <c r="A231" s="264" t="s">
        <v>1218</v>
      </c>
      <c r="B231" s="265" t="s">
        <v>1219</v>
      </c>
      <c r="C231" s="266" t="s">
        <v>1087</v>
      </c>
      <c r="D231" s="267">
        <v>1</v>
      </c>
      <c r="E231" s="268">
        <v>11</v>
      </c>
    </row>
    <row r="232" spans="1:5">
      <c r="A232" s="260" t="s">
        <v>1220</v>
      </c>
      <c r="B232" s="261" t="s">
        <v>1219</v>
      </c>
      <c r="C232" s="262" t="s">
        <v>1087</v>
      </c>
      <c r="D232" s="263">
        <v>1</v>
      </c>
      <c r="E232" s="246">
        <v>11</v>
      </c>
    </row>
    <row r="233" spans="1:5" ht="14.4">
      <c r="A233" s="264" t="s">
        <v>1221</v>
      </c>
      <c r="B233" s="265" t="s">
        <v>1222</v>
      </c>
      <c r="C233" s="266" t="s">
        <v>1087</v>
      </c>
      <c r="D233" s="267">
        <v>1</v>
      </c>
      <c r="E233" s="268">
        <v>11</v>
      </c>
    </row>
    <row r="234" spans="1:5">
      <c r="A234" s="260" t="s">
        <v>1223</v>
      </c>
      <c r="B234" s="261" t="s">
        <v>1222</v>
      </c>
      <c r="C234" s="262" t="s">
        <v>1087</v>
      </c>
      <c r="D234" s="263">
        <v>2</v>
      </c>
      <c r="E234" s="246">
        <v>11</v>
      </c>
    </row>
    <row r="235" spans="1:5" ht="14.4">
      <c r="A235" s="264" t="s">
        <v>1224</v>
      </c>
      <c r="B235" s="261" t="s">
        <v>1225</v>
      </c>
      <c r="C235" s="266" t="s">
        <v>1159</v>
      </c>
      <c r="D235" s="267">
        <v>2</v>
      </c>
      <c r="E235" s="268">
        <v>11</v>
      </c>
    </row>
    <row r="236" spans="1:5">
      <c r="A236" s="260" t="s">
        <v>1226</v>
      </c>
      <c r="B236" s="261" t="s">
        <v>1225</v>
      </c>
      <c r="C236" s="262" t="s">
        <v>1159</v>
      </c>
      <c r="D236" s="263">
        <v>2</v>
      </c>
      <c r="E236" s="246">
        <v>11</v>
      </c>
    </row>
    <row r="237" spans="1:5" ht="14.4">
      <c r="A237" s="264" t="s">
        <v>1227</v>
      </c>
      <c r="B237" s="265" t="s">
        <v>1228</v>
      </c>
      <c r="C237" s="266" t="s">
        <v>1159</v>
      </c>
      <c r="D237" s="267">
        <v>1</v>
      </c>
      <c r="E237" s="268">
        <v>11</v>
      </c>
    </row>
    <row r="238" spans="1:5">
      <c r="A238" s="260" t="s">
        <v>1229</v>
      </c>
      <c r="B238" s="261" t="s">
        <v>1228</v>
      </c>
      <c r="C238" s="262" t="s">
        <v>1159</v>
      </c>
      <c r="D238" s="263">
        <v>2</v>
      </c>
      <c r="E238" s="246">
        <v>11</v>
      </c>
    </row>
    <row r="239" spans="1:5">
      <c r="A239" s="260" t="s">
        <v>1230</v>
      </c>
      <c r="B239" s="261" t="s">
        <v>1228</v>
      </c>
      <c r="C239" s="262" t="s">
        <v>1159</v>
      </c>
      <c r="D239" s="263">
        <v>1</v>
      </c>
      <c r="E239" s="246">
        <v>11</v>
      </c>
    </row>
    <row r="240" spans="1:5">
      <c r="A240" s="260" t="s">
        <v>1231</v>
      </c>
      <c r="B240" s="261" t="s">
        <v>1228</v>
      </c>
      <c r="C240" s="262" t="s">
        <v>1159</v>
      </c>
      <c r="D240" s="263">
        <v>1</v>
      </c>
      <c r="E240" s="246">
        <v>11</v>
      </c>
    </row>
    <row r="241" spans="1:5" ht="14.4">
      <c r="A241" s="264" t="s">
        <v>1232</v>
      </c>
      <c r="B241" s="265" t="s">
        <v>1233</v>
      </c>
      <c r="C241" s="266" t="s">
        <v>1087</v>
      </c>
      <c r="D241" s="263">
        <v>3</v>
      </c>
      <c r="E241" s="246">
        <v>11</v>
      </c>
    </row>
    <row r="242" spans="1:5">
      <c r="A242" s="260" t="s">
        <v>1234</v>
      </c>
      <c r="B242" s="261" t="s">
        <v>1233</v>
      </c>
      <c r="C242" s="262" t="s">
        <v>1087</v>
      </c>
      <c r="D242" s="263">
        <v>1</v>
      </c>
      <c r="E242" s="246">
        <v>11</v>
      </c>
    </row>
    <row r="243" spans="1:5">
      <c r="A243" s="260" t="s">
        <v>1235</v>
      </c>
      <c r="B243" s="261" t="s">
        <v>1233</v>
      </c>
      <c r="C243" s="262" t="s">
        <v>1087</v>
      </c>
      <c r="D243" s="263">
        <v>1</v>
      </c>
      <c r="E243" s="246">
        <v>11</v>
      </c>
    </row>
    <row r="244" spans="1:5" ht="14.4">
      <c r="A244" s="264" t="s">
        <v>1236</v>
      </c>
      <c r="B244" s="265" t="s">
        <v>1237</v>
      </c>
      <c r="C244" s="266" t="s">
        <v>1053</v>
      </c>
      <c r="D244" s="267">
        <v>1</v>
      </c>
      <c r="E244" s="268">
        <v>11</v>
      </c>
    </row>
    <row r="245" spans="1:5">
      <c r="A245" s="260" t="s">
        <v>1238</v>
      </c>
      <c r="B245" s="261" t="s">
        <v>1237</v>
      </c>
      <c r="C245" s="262" t="s">
        <v>1053</v>
      </c>
      <c r="D245" s="263">
        <v>1</v>
      </c>
      <c r="E245" s="246">
        <v>11</v>
      </c>
    </row>
    <row r="246" spans="1:5">
      <c r="A246" s="260" t="s">
        <v>1239</v>
      </c>
      <c r="B246" s="261" t="s">
        <v>1237</v>
      </c>
      <c r="C246" s="262" t="s">
        <v>1053</v>
      </c>
      <c r="D246" s="263">
        <v>1</v>
      </c>
      <c r="E246" s="246">
        <v>11</v>
      </c>
    </row>
    <row r="247" spans="1:5" ht="14.4">
      <c r="A247" s="264" t="s">
        <v>1240</v>
      </c>
      <c r="B247" s="265" t="s">
        <v>1241</v>
      </c>
      <c r="C247" s="266" t="s">
        <v>1087</v>
      </c>
      <c r="D247" s="267">
        <v>1</v>
      </c>
      <c r="E247" s="268">
        <v>11</v>
      </c>
    </row>
    <row r="248" spans="1:5">
      <c r="A248" s="260" t="s">
        <v>1242</v>
      </c>
      <c r="B248" s="261" t="s">
        <v>1241</v>
      </c>
      <c r="C248" s="262" t="s">
        <v>1087</v>
      </c>
      <c r="D248" s="263">
        <v>3</v>
      </c>
      <c r="E248" s="246">
        <v>11</v>
      </c>
    </row>
    <row r="249" spans="1:5" ht="14.4">
      <c r="A249" s="264" t="s">
        <v>1243</v>
      </c>
      <c r="B249" s="265" t="s">
        <v>1241</v>
      </c>
      <c r="C249" s="266" t="s">
        <v>1087</v>
      </c>
      <c r="D249" s="267">
        <v>3</v>
      </c>
      <c r="E249" s="268">
        <v>11</v>
      </c>
    </row>
    <row r="250" spans="1:5">
      <c r="A250" s="260" t="s">
        <v>1244</v>
      </c>
      <c r="B250" s="261" t="s">
        <v>1241</v>
      </c>
      <c r="C250" s="262" t="s">
        <v>1087</v>
      </c>
      <c r="D250" s="263">
        <v>3</v>
      </c>
      <c r="E250" s="246">
        <v>11</v>
      </c>
    </row>
    <row r="251" spans="1:5" ht="14.4">
      <c r="A251" s="264" t="s">
        <v>1245</v>
      </c>
      <c r="B251" s="265" t="s">
        <v>1018</v>
      </c>
      <c r="C251" s="266" t="s">
        <v>1159</v>
      </c>
      <c r="D251" s="263">
        <v>1</v>
      </c>
      <c r="E251" s="246">
        <v>12</v>
      </c>
    </row>
    <row r="252" spans="1:5">
      <c r="A252" s="260" t="s">
        <v>1246</v>
      </c>
      <c r="B252" s="261" t="s">
        <v>1018</v>
      </c>
      <c r="C252" s="262" t="s">
        <v>1159</v>
      </c>
      <c r="D252" s="263">
        <v>1</v>
      </c>
      <c r="E252" s="246">
        <v>12</v>
      </c>
    </row>
    <row r="253" spans="1:5">
      <c r="A253" s="260" t="s">
        <v>1247</v>
      </c>
      <c r="B253" s="261" t="s">
        <v>1018</v>
      </c>
      <c r="C253" s="262" t="s">
        <v>1159</v>
      </c>
      <c r="D253" s="263">
        <v>1</v>
      </c>
      <c r="E253" s="246">
        <v>13</v>
      </c>
    </row>
    <row r="254" spans="1:5">
      <c r="A254" s="260" t="s">
        <v>1248</v>
      </c>
      <c r="B254" s="261" t="s">
        <v>1018</v>
      </c>
      <c r="C254" s="262" t="s">
        <v>1159</v>
      </c>
      <c r="D254" s="263">
        <v>1</v>
      </c>
      <c r="E254" s="246">
        <v>13</v>
      </c>
    </row>
    <row r="255" spans="1:5" ht="14.4">
      <c r="A255" s="264" t="s">
        <v>1249</v>
      </c>
      <c r="B255" s="265" t="s">
        <v>1018</v>
      </c>
      <c r="C255" s="266" t="s">
        <v>1159</v>
      </c>
      <c r="D255" s="263">
        <v>2</v>
      </c>
      <c r="E255" s="246">
        <v>13</v>
      </c>
    </row>
    <row r="256" spans="1:5">
      <c r="A256" s="260" t="s">
        <v>1247</v>
      </c>
      <c r="B256" s="261" t="s">
        <v>1018</v>
      </c>
      <c r="C256" s="262" t="s">
        <v>1159</v>
      </c>
      <c r="D256" s="263">
        <v>1</v>
      </c>
      <c r="E256" s="246">
        <v>13</v>
      </c>
    </row>
    <row r="257" spans="1:5">
      <c r="A257" s="260" t="s">
        <v>1250</v>
      </c>
      <c r="B257" s="261" t="s">
        <v>1018</v>
      </c>
      <c r="C257" s="262" t="s">
        <v>1159</v>
      </c>
      <c r="D257" s="263">
        <v>1</v>
      </c>
      <c r="E257" s="246">
        <v>13</v>
      </c>
    </row>
    <row r="258" spans="1:5" ht="14.4">
      <c r="A258" s="264" t="s">
        <v>1251</v>
      </c>
      <c r="B258" s="265" t="s">
        <v>1016</v>
      </c>
      <c r="C258" s="266" t="s">
        <v>1087</v>
      </c>
      <c r="D258" s="267">
        <v>1</v>
      </c>
      <c r="E258" s="268">
        <v>12</v>
      </c>
    </row>
    <row r="259" spans="1:5">
      <c r="A259" s="260" t="s">
        <v>1252</v>
      </c>
      <c r="B259" s="261" t="s">
        <v>1016</v>
      </c>
      <c r="C259" s="262" t="s">
        <v>1087</v>
      </c>
      <c r="D259" s="263">
        <v>1</v>
      </c>
      <c r="E259" s="246">
        <v>12</v>
      </c>
    </row>
    <row r="260" spans="1:5">
      <c r="A260" s="260" t="s">
        <v>1253</v>
      </c>
      <c r="B260" s="261" t="s">
        <v>1016</v>
      </c>
      <c r="C260" s="262" t="s">
        <v>1087</v>
      </c>
      <c r="D260" s="263">
        <v>2</v>
      </c>
      <c r="E260" s="246">
        <v>13</v>
      </c>
    </row>
    <row r="261" spans="1:5">
      <c r="A261" s="260" t="s">
        <v>1254</v>
      </c>
      <c r="B261" s="261" t="s">
        <v>1016</v>
      </c>
      <c r="C261" s="262" t="s">
        <v>1087</v>
      </c>
      <c r="D261" s="263">
        <v>1</v>
      </c>
      <c r="E261" s="246">
        <v>13</v>
      </c>
    </row>
    <row r="262" spans="1:5">
      <c r="A262" s="260" t="s">
        <v>1255</v>
      </c>
      <c r="B262" s="261" t="s">
        <v>1016</v>
      </c>
      <c r="C262" s="262" t="s">
        <v>1087</v>
      </c>
      <c r="D262" s="263">
        <v>1</v>
      </c>
      <c r="E262" s="246">
        <v>13</v>
      </c>
    </row>
    <row r="263" spans="1:5" ht="14.4">
      <c r="A263" s="264" t="s">
        <v>1256</v>
      </c>
      <c r="B263" s="265" t="s">
        <v>1016</v>
      </c>
      <c r="C263" s="266" t="s">
        <v>1087</v>
      </c>
      <c r="D263" s="267">
        <v>1</v>
      </c>
      <c r="E263" s="268">
        <v>12</v>
      </c>
    </row>
    <row r="264" spans="1:5">
      <c r="A264" s="260" t="s">
        <v>1257</v>
      </c>
      <c r="B264" s="261" t="s">
        <v>1016</v>
      </c>
      <c r="C264" s="262" t="s">
        <v>1087</v>
      </c>
      <c r="D264" s="263">
        <v>1</v>
      </c>
      <c r="E264" s="246">
        <v>12</v>
      </c>
    </row>
    <row r="265" spans="1:5">
      <c r="A265" s="260" t="s">
        <v>1251</v>
      </c>
      <c r="B265" s="261" t="s">
        <v>1016</v>
      </c>
      <c r="C265" s="262" t="s">
        <v>1087</v>
      </c>
      <c r="D265" s="263">
        <v>2</v>
      </c>
      <c r="E265" s="246">
        <v>12</v>
      </c>
    </row>
    <row r="266" spans="1:5">
      <c r="A266" s="260" t="s">
        <v>1252</v>
      </c>
      <c r="B266" s="261" t="s">
        <v>1016</v>
      </c>
      <c r="C266" s="262" t="s">
        <v>1087</v>
      </c>
      <c r="D266" s="263">
        <v>1</v>
      </c>
      <c r="E266" s="246">
        <v>12</v>
      </c>
    </row>
    <row r="267" spans="1:5">
      <c r="A267" s="260" t="s">
        <v>1253</v>
      </c>
      <c r="B267" s="261" t="s">
        <v>1016</v>
      </c>
      <c r="C267" s="262" t="s">
        <v>1087</v>
      </c>
      <c r="D267" s="263">
        <v>1</v>
      </c>
      <c r="E267" s="246">
        <v>13</v>
      </c>
    </row>
    <row r="268" spans="1:5">
      <c r="A268" s="260" t="s">
        <v>1258</v>
      </c>
      <c r="B268" s="261" t="s">
        <v>1016</v>
      </c>
      <c r="C268" s="262" t="s">
        <v>1087</v>
      </c>
      <c r="D268" s="263">
        <v>1</v>
      </c>
      <c r="E268" s="246">
        <v>13</v>
      </c>
    </row>
    <row r="269" spans="1:5">
      <c r="A269" s="260" t="s">
        <v>1259</v>
      </c>
      <c r="B269" s="261" t="s">
        <v>1016</v>
      </c>
      <c r="C269" s="262" t="s">
        <v>1087</v>
      </c>
      <c r="D269" s="263">
        <v>1</v>
      </c>
      <c r="E269" s="246">
        <v>13</v>
      </c>
    </row>
    <row r="270" spans="1:5" ht="14.4">
      <c r="A270" s="264" t="s">
        <v>1260</v>
      </c>
      <c r="B270" s="265" t="s">
        <v>1014</v>
      </c>
      <c r="C270" s="266" t="s">
        <v>1095</v>
      </c>
      <c r="D270" s="267">
        <v>4</v>
      </c>
      <c r="E270" s="268">
        <v>12</v>
      </c>
    </row>
    <row r="271" spans="1:5">
      <c r="A271" s="260" t="s">
        <v>1261</v>
      </c>
      <c r="B271" s="261" t="s">
        <v>1014</v>
      </c>
      <c r="C271" s="262" t="s">
        <v>1095</v>
      </c>
      <c r="D271" s="263">
        <v>7</v>
      </c>
      <c r="E271" s="246">
        <v>12</v>
      </c>
    </row>
    <row r="272" spans="1:5">
      <c r="A272" s="260" t="s">
        <v>1262</v>
      </c>
      <c r="B272" s="261" t="s">
        <v>1014</v>
      </c>
      <c r="C272" s="262" t="s">
        <v>1095</v>
      </c>
      <c r="D272" s="263">
        <v>6</v>
      </c>
      <c r="E272" s="246">
        <v>12</v>
      </c>
    </row>
    <row r="273" spans="1:5">
      <c r="A273" s="260" t="s">
        <v>1263</v>
      </c>
      <c r="B273" s="261" t="s">
        <v>1014</v>
      </c>
      <c r="C273" s="262" t="s">
        <v>1095</v>
      </c>
      <c r="D273" s="263">
        <v>4</v>
      </c>
      <c r="E273" s="246">
        <v>12</v>
      </c>
    </row>
    <row r="274" spans="1:5">
      <c r="A274" s="260" t="s">
        <v>1264</v>
      </c>
      <c r="B274" s="261" t="s">
        <v>1014</v>
      </c>
      <c r="C274" s="262" t="s">
        <v>1095</v>
      </c>
      <c r="D274" s="263">
        <v>4</v>
      </c>
      <c r="E274" s="246">
        <v>12</v>
      </c>
    </row>
    <row r="275" spans="1:5">
      <c r="A275" s="260" t="s">
        <v>1265</v>
      </c>
      <c r="B275" s="261" t="s">
        <v>1014</v>
      </c>
      <c r="C275" s="262" t="s">
        <v>1095</v>
      </c>
      <c r="D275" s="263">
        <v>2</v>
      </c>
      <c r="E275" s="246">
        <v>13</v>
      </c>
    </row>
    <row r="276" spans="1:5" ht="14.4">
      <c r="A276" s="264" t="s">
        <v>1266</v>
      </c>
      <c r="B276" s="265" t="s">
        <v>1267</v>
      </c>
      <c r="C276" s="266" t="s">
        <v>1053</v>
      </c>
      <c r="D276" s="267">
        <v>1</v>
      </c>
      <c r="E276" s="268">
        <v>14</v>
      </c>
    </row>
    <row r="277" spans="1:5" ht="14.4">
      <c r="A277" s="264" t="s">
        <v>1268</v>
      </c>
      <c r="B277" s="265" t="s">
        <v>1267</v>
      </c>
      <c r="C277" s="266" t="s">
        <v>1053</v>
      </c>
      <c r="D277" s="267">
        <v>1</v>
      </c>
      <c r="E277" s="268">
        <v>14</v>
      </c>
    </row>
    <row r="278" spans="1:5" ht="14.4">
      <c r="A278" s="264" t="s">
        <v>1269</v>
      </c>
      <c r="B278" s="265" t="s">
        <v>1270</v>
      </c>
      <c r="C278" s="266" t="s">
        <v>1087</v>
      </c>
      <c r="D278" s="267">
        <v>3</v>
      </c>
      <c r="E278" s="268">
        <v>14</v>
      </c>
    </row>
    <row r="279" spans="1:5">
      <c r="A279" s="260" t="s">
        <v>1271</v>
      </c>
      <c r="B279" s="261" t="s">
        <v>1270</v>
      </c>
      <c r="C279" s="262" t="s">
        <v>1087</v>
      </c>
      <c r="D279" s="263">
        <v>2</v>
      </c>
      <c r="E279" s="246">
        <v>14</v>
      </c>
    </row>
    <row r="280" spans="1:5">
      <c r="A280" s="260" t="s">
        <v>1272</v>
      </c>
      <c r="B280" s="261" t="s">
        <v>1270</v>
      </c>
      <c r="C280" s="262" t="s">
        <v>1087</v>
      </c>
      <c r="D280" s="263">
        <v>2</v>
      </c>
      <c r="E280" s="246">
        <v>15</v>
      </c>
    </row>
    <row r="281" spans="1:5">
      <c r="A281" s="260" t="s">
        <v>1273</v>
      </c>
      <c r="B281" s="261" t="s">
        <v>1270</v>
      </c>
      <c r="C281" s="262" t="s">
        <v>1087</v>
      </c>
      <c r="D281" s="263">
        <v>2</v>
      </c>
      <c r="E281" s="246">
        <v>15</v>
      </c>
    </row>
    <row r="282" spans="1:5">
      <c r="A282" s="260" t="s">
        <v>1274</v>
      </c>
      <c r="B282" s="261" t="s">
        <v>1270</v>
      </c>
      <c r="C282" s="262" t="s">
        <v>1087</v>
      </c>
      <c r="D282" s="263">
        <v>1</v>
      </c>
      <c r="E282" s="246">
        <v>15</v>
      </c>
    </row>
    <row r="283" spans="1:5" ht="14.4">
      <c r="A283" s="264" t="s">
        <v>1275</v>
      </c>
      <c r="B283" s="265" t="s">
        <v>1276</v>
      </c>
      <c r="C283" s="266" t="s">
        <v>1064</v>
      </c>
      <c r="D283" s="267">
        <v>3</v>
      </c>
      <c r="E283" s="268">
        <v>17</v>
      </c>
    </row>
    <row r="284" spans="1:5">
      <c r="A284" s="260" t="s">
        <v>1277</v>
      </c>
      <c r="B284" s="261" t="s">
        <v>1276</v>
      </c>
      <c r="C284" s="262" t="s">
        <v>1064</v>
      </c>
      <c r="D284" s="263">
        <v>4</v>
      </c>
      <c r="E284" s="246">
        <v>17</v>
      </c>
    </row>
    <row r="285" spans="1:5" ht="14.4">
      <c r="A285" s="264" t="s">
        <v>1275</v>
      </c>
      <c r="B285" s="265" t="s">
        <v>1276</v>
      </c>
      <c r="C285" s="266" t="s">
        <v>1064</v>
      </c>
      <c r="D285" s="267">
        <v>6</v>
      </c>
      <c r="E285" s="268">
        <v>17</v>
      </c>
    </row>
    <row r="286" spans="1:5">
      <c r="A286" s="260" t="s">
        <v>1277</v>
      </c>
      <c r="B286" s="261" t="s">
        <v>1276</v>
      </c>
      <c r="C286" s="262" t="s">
        <v>1064</v>
      </c>
      <c r="D286" s="263">
        <v>8</v>
      </c>
      <c r="E286" s="246">
        <v>17</v>
      </c>
    </row>
    <row r="287" spans="1:5" ht="14.4">
      <c r="A287" s="264" t="s">
        <v>1278</v>
      </c>
      <c r="B287" s="265" t="s">
        <v>1279</v>
      </c>
      <c r="C287" s="266" t="s">
        <v>1050</v>
      </c>
      <c r="D287" s="263">
        <v>2</v>
      </c>
      <c r="E287" s="246">
        <v>17</v>
      </c>
    </row>
    <row r="288" spans="1:5">
      <c r="A288" s="260" t="s">
        <v>1280</v>
      </c>
      <c r="B288" s="261" t="s">
        <v>1279</v>
      </c>
      <c r="C288" s="262" t="s">
        <v>1050</v>
      </c>
      <c r="D288" s="263">
        <v>2</v>
      </c>
      <c r="E288" s="246">
        <v>17</v>
      </c>
    </row>
    <row r="289" spans="1:5" ht="14.4">
      <c r="A289" s="264" t="s">
        <v>1281</v>
      </c>
      <c r="B289" s="265" t="s">
        <v>1282</v>
      </c>
      <c r="C289" s="266" t="s">
        <v>1064</v>
      </c>
      <c r="D289" s="267">
        <v>5</v>
      </c>
      <c r="E289" s="268">
        <v>17</v>
      </c>
    </row>
    <row r="290" spans="1:5">
      <c r="A290" s="260" t="s">
        <v>1283</v>
      </c>
      <c r="B290" s="261" t="s">
        <v>1282</v>
      </c>
      <c r="C290" s="262" t="s">
        <v>1064</v>
      </c>
      <c r="D290" s="263">
        <v>4</v>
      </c>
      <c r="E290" s="246">
        <v>17</v>
      </c>
    </row>
    <row r="291" spans="1:5">
      <c r="A291" s="260" t="s">
        <v>1281</v>
      </c>
      <c r="B291" s="261" t="s">
        <v>1282</v>
      </c>
      <c r="C291" s="262" t="s">
        <v>1064</v>
      </c>
      <c r="D291" s="263">
        <v>4</v>
      </c>
      <c r="E291" s="246">
        <v>17</v>
      </c>
    </row>
    <row r="292" spans="1:5">
      <c r="A292" s="260" t="s">
        <v>1283</v>
      </c>
      <c r="B292" s="261" t="s">
        <v>1282</v>
      </c>
      <c r="C292" s="262" t="s">
        <v>1064</v>
      </c>
      <c r="D292" s="263">
        <v>3</v>
      </c>
      <c r="E292" s="246">
        <v>17</v>
      </c>
    </row>
    <row r="293" spans="1:5" ht="14.4">
      <c r="A293" s="264" t="s">
        <v>1284</v>
      </c>
      <c r="B293" s="265" t="s">
        <v>1285</v>
      </c>
      <c r="C293" s="266" t="s">
        <v>1087</v>
      </c>
      <c r="D293" s="267">
        <v>6</v>
      </c>
      <c r="E293" s="268">
        <v>17</v>
      </c>
    </row>
    <row r="294" spans="1:5">
      <c r="A294" s="260" t="s">
        <v>1286</v>
      </c>
      <c r="B294" s="261" t="s">
        <v>1285</v>
      </c>
      <c r="C294" s="262" t="s">
        <v>1087</v>
      </c>
      <c r="D294" s="263">
        <v>15</v>
      </c>
      <c r="E294" s="246">
        <v>17</v>
      </c>
    </row>
    <row r="295" spans="1:5">
      <c r="A295" s="260" t="s">
        <v>1287</v>
      </c>
      <c r="B295" s="261" t="s">
        <v>1285</v>
      </c>
      <c r="C295" s="262" t="s">
        <v>1087</v>
      </c>
      <c r="D295" s="263">
        <v>7</v>
      </c>
      <c r="E295" s="246">
        <v>17</v>
      </c>
    </row>
    <row r="296" spans="1:5" ht="14.4">
      <c r="A296" s="264" t="s">
        <v>1284</v>
      </c>
      <c r="B296" s="265" t="s">
        <v>1285</v>
      </c>
      <c r="C296" s="266" t="s">
        <v>1087</v>
      </c>
      <c r="D296" s="267">
        <v>6</v>
      </c>
      <c r="E296" s="268">
        <v>18</v>
      </c>
    </row>
    <row r="297" spans="1:5">
      <c r="A297" s="260" t="s">
        <v>1286</v>
      </c>
      <c r="B297" s="261" t="s">
        <v>1285</v>
      </c>
      <c r="C297" s="262" t="s">
        <v>1087</v>
      </c>
      <c r="D297" s="263">
        <v>10</v>
      </c>
      <c r="E297" s="246">
        <v>18</v>
      </c>
    </row>
    <row r="298" spans="1:5">
      <c r="A298" s="260" t="s">
        <v>1287</v>
      </c>
      <c r="B298" s="261" t="s">
        <v>1285</v>
      </c>
      <c r="C298" s="262" t="s">
        <v>1087</v>
      </c>
      <c r="D298" s="263">
        <v>8</v>
      </c>
      <c r="E298" s="246">
        <v>18</v>
      </c>
    </row>
    <row r="299" spans="1:5" ht="14.4">
      <c r="A299" s="264" t="s">
        <v>1288</v>
      </c>
      <c r="B299" s="265" t="s">
        <v>1289</v>
      </c>
      <c r="C299" s="266" t="s">
        <v>1159</v>
      </c>
      <c r="D299" s="267">
        <v>5</v>
      </c>
      <c r="E299" s="268">
        <v>18</v>
      </c>
    </row>
    <row r="300" spans="1:5">
      <c r="A300" s="260" t="s">
        <v>1290</v>
      </c>
      <c r="B300" s="261" t="s">
        <v>1289</v>
      </c>
      <c r="C300" s="262" t="s">
        <v>1159</v>
      </c>
      <c r="D300" s="263">
        <v>7</v>
      </c>
      <c r="E300" s="246">
        <v>18</v>
      </c>
    </row>
    <row r="301" spans="1:5" ht="14.4">
      <c r="A301" s="264" t="s">
        <v>1288</v>
      </c>
      <c r="B301" s="265" t="s">
        <v>1289</v>
      </c>
      <c r="C301" s="266" t="s">
        <v>1159</v>
      </c>
      <c r="D301" s="267">
        <v>6</v>
      </c>
      <c r="E301" s="268">
        <v>18</v>
      </c>
    </row>
    <row r="302" spans="1:5">
      <c r="A302" s="260" t="s">
        <v>1290</v>
      </c>
      <c r="B302" s="261" t="s">
        <v>1289</v>
      </c>
      <c r="C302" s="262" t="s">
        <v>1159</v>
      </c>
      <c r="D302" s="263">
        <v>2</v>
      </c>
      <c r="E302" s="246">
        <v>18</v>
      </c>
    </row>
    <row r="303" spans="1:5">
      <c r="A303" s="260" t="s">
        <v>1291</v>
      </c>
      <c r="B303" s="261" t="s">
        <v>1289</v>
      </c>
      <c r="C303" s="262" t="s">
        <v>1159</v>
      </c>
      <c r="D303" s="263">
        <v>9</v>
      </c>
      <c r="E303" s="246">
        <v>18</v>
      </c>
    </row>
    <row r="304" spans="1:5" ht="14.4">
      <c r="A304" s="264" t="s">
        <v>1292</v>
      </c>
      <c r="B304" s="265" t="s">
        <v>1293</v>
      </c>
      <c r="C304" s="266" t="s">
        <v>1046</v>
      </c>
      <c r="D304" s="267">
        <v>3</v>
      </c>
      <c r="E304" s="268">
        <v>18</v>
      </c>
    </row>
    <row r="305" spans="1:5">
      <c r="A305" s="260" t="s">
        <v>1292</v>
      </c>
      <c r="B305" s="261" t="s">
        <v>1293</v>
      </c>
      <c r="C305" s="262" t="s">
        <v>1046</v>
      </c>
      <c r="D305" s="263">
        <v>2</v>
      </c>
      <c r="E305" s="246">
        <v>18</v>
      </c>
    </row>
    <row r="306" spans="1:5" ht="14.4">
      <c r="A306" s="264" t="s">
        <v>1294</v>
      </c>
      <c r="B306" s="265" t="s">
        <v>1295</v>
      </c>
      <c r="C306" s="266" t="s">
        <v>1159</v>
      </c>
      <c r="D306" s="267">
        <v>3</v>
      </c>
      <c r="E306" s="268">
        <v>18</v>
      </c>
    </row>
    <row r="307" spans="1:5">
      <c r="A307" s="260" t="s">
        <v>1294</v>
      </c>
      <c r="B307" s="261" t="s">
        <v>1295</v>
      </c>
      <c r="C307" s="262" t="s">
        <v>1159</v>
      </c>
      <c r="D307" s="263">
        <v>1</v>
      </c>
      <c r="E307" s="246">
        <v>18</v>
      </c>
    </row>
    <row r="308" spans="1:5" ht="14.4">
      <c r="A308" s="264" t="s">
        <v>1296</v>
      </c>
      <c r="B308" s="265" t="s">
        <v>1297</v>
      </c>
      <c r="C308" s="266" t="s">
        <v>1050</v>
      </c>
      <c r="D308" s="267">
        <v>1</v>
      </c>
      <c r="E308" s="268">
        <v>18</v>
      </c>
    </row>
    <row r="309" spans="1:5">
      <c r="A309" s="260" t="s">
        <v>1298</v>
      </c>
      <c r="B309" s="261" t="s">
        <v>1297</v>
      </c>
      <c r="C309" s="262" t="s">
        <v>1050</v>
      </c>
      <c r="D309" s="263">
        <v>3</v>
      </c>
      <c r="E309" s="246">
        <v>18</v>
      </c>
    </row>
    <row r="310" spans="1:5" ht="14.4">
      <c r="A310" s="264" t="s">
        <v>1299</v>
      </c>
      <c r="B310" s="265" t="s">
        <v>1300</v>
      </c>
      <c r="C310" s="266" t="s">
        <v>1046</v>
      </c>
      <c r="D310" s="267">
        <v>3</v>
      </c>
      <c r="E310" s="268">
        <v>19</v>
      </c>
    </row>
    <row r="311" spans="1:5">
      <c r="A311" s="260" t="s">
        <v>1301</v>
      </c>
      <c r="B311" s="261" t="s">
        <v>1300</v>
      </c>
      <c r="C311" s="262" t="s">
        <v>1046</v>
      </c>
      <c r="D311" s="263">
        <v>1</v>
      </c>
      <c r="E311" s="246">
        <v>19</v>
      </c>
    </row>
    <row r="312" spans="1:5" ht="14.4">
      <c r="A312" s="264" t="s">
        <v>1302</v>
      </c>
      <c r="B312" s="265" t="s">
        <v>1303</v>
      </c>
      <c r="C312" s="266" t="s">
        <v>1046</v>
      </c>
      <c r="D312" s="267">
        <v>2</v>
      </c>
      <c r="E312" s="246">
        <v>19</v>
      </c>
    </row>
    <row r="313" spans="1:5" ht="13.15">
      <c r="A313" s="260" t="s">
        <v>1304</v>
      </c>
      <c r="B313" s="261" t="s">
        <v>1305</v>
      </c>
      <c r="C313" s="266" t="s">
        <v>1046</v>
      </c>
      <c r="D313" s="263">
        <v>2</v>
      </c>
      <c r="E313" s="246">
        <v>19</v>
      </c>
    </row>
    <row r="314" spans="1:5" ht="13.15">
      <c r="A314" s="264" t="s">
        <v>1306</v>
      </c>
      <c r="B314" s="261" t="s">
        <v>1307</v>
      </c>
      <c r="C314" s="266" t="s">
        <v>1046</v>
      </c>
      <c r="D314" s="263">
        <v>1</v>
      </c>
      <c r="E314" s="246">
        <v>19</v>
      </c>
    </row>
    <row r="315" spans="1:5">
      <c r="A315" s="260" t="s">
        <v>1308</v>
      </c>
      <c r="B315" s="261" t="s">
        <v>1307</v>
      </c>
      <c r="C315" s="262" t="s">
        <v>1046</v>
      </c>
      <c r="D315" s="263">
        <v>1</v>
      </c>
      <c r="E315" s="246">
        <v>19</v>
      </c>
    </row>
    <row r="316" spans="1:5" ht="14.4">
      <c r="A316" s="264" t="s">
        <v>1296</v>
      </c>
      <c r="B316" s="265" t="s">
        <v>1297</v>
      </c>
      <c r="C316" s="266" t="s">
        <v>1046</v>
      </c>
      <c r="D316" s="263">
        <v>2</v>
      </c>
      <c r="E316" s="246">
        <v>19</v>
      </c>
    </row>
    <row r="317" spans="1:5">
      <c r="A317" s="260" t="s">
        <v>1298</v>
      </c>
      <c r="B317" s="261" t="s">
        <v>1297</v>
      </c>
      <c r="C317" s="262" t="s">
        <v>1046</v>
      </c>
      <c r="D317" s="263">
        <v>2</v>
      </c>
      <c r="E317" s="246">
        <v>19</v>
      </c>
    </row>
    <row r="318" spans="1:5">
      <c r="A318" s="260" t="s">
        <v>1309</v>
      </c>
      <c r="B318" s="261" t="s">
        <v>1297</v>
      </c>
      <c r="C318" s="262" t="s">
        <v>1046</v>
      </c>
      <c r="D318" s="263">
        <v>1</v>
      </c>
      <c r="E318" s="246">
        <v>19</v>
      </c>
    </row>
    <row r="319" spans="1:5" ht="14.4">
      <c r="A319" s="264" t="s">
        <v>1310</v>
      </c>
      <c r="B319" s="265" t="s">
        <v>1311</v>
      </c>
      <c r="C319" s="266" t="s">
        <v>1064</v>
      </c>
      <c r="D319" s="267">
        <v>1</v>
      </c>
      <c r="E319" s="268">
        <v>19</v>
      </c>
    </row>
    <row r="320" spans="1:5">
      <c r="A320" s="260" t="s">
        <v>1312</v>
      </c>
      <c r="B320" s="261" t="s">
        <v>1311</v>
      </c>
      <c r="C320" s="262" t="s">
        <v>1064</v>
      </c>
      <c r="D320" s="263">
        <v>1</v>
      </c>
      <c r="E320" s="246">
        <v>19</v>
      </c>
    </row>
    <row r="321" spans="1:5">
      <c r="A321" s="260" t="s">
        <v>1313</v>
      </c>
      <c r="B321" s="261" t="s">
        <v>1311</v>
      </c>
      <c r="C321" s="262" t="s">
        <v>1064</v>
      </c>
      <c r="D321" s="263">
        <v>1</v>
      </c>
      <c r="E321" s="246">
        <v>19</v>
      </c>
    </row>
    <row r="322" spans="1:5" ht="14.4">
      <c r="A322" s="264" t="s">
        <v>1314</v>
      </c>
      <c r="B322" s="265" t="s">
        <v>1315</v>
      </c>
      <c r="C322" s="266" t="s">
        <v>1087</v>
      </c>
      <c r="D322" s="267">
        <v>1</v>
      </c>
      <c r="E322" s="268">
        <v>19</v>
      </c>
    </row>
    <row r="323" spans="1:5">
      <c r="A323" s="260" t="s">
        <v>1316</v>
      </c>
      <c r="B323" s="261" t="s">
        <v>1315</v>
      </c>
      <c r="C323" s="262" t="s">
        <v>1087</v>
      </c>
      <c r="D323" s="263">
        <v>1</v>
      </c>
      <c r="E323" s="246">
        <v>19</v>
      </c>
    </row>
    <row r="324" spans="1:5">
      <c r="A324" s="260" t="s">
        <v>1317</v>
      </c>
      <c r="B324" s="261" t="s">
        <v>1315</v>
      </c>
      <c r="C324" s="262" t="s">
        <v>1087</v>
      </c>
      <c r="D324" s="263">
        <v>2</v>
      </c>
      <c r="E324" s="246">
        <v>19</v>
      </c>
    </row>
    <row r="325" spans="1:5" ht="14.4">
      <c r="A325" s="264" t="s">
        <v>1318</v>
      </c>
      <c r="B325" s="265" t="s">
        <v>1319</v>
      </c>
      <c r="C325" s="266" t="s">
        <v>1159</v>
      </c>
      <c r="D325" s="267">
        <v>1</v>
      </c>
      <c r="E325" s="268">
        <v>19</v>
      </c>
    </row>
    <row r="326" spans="1:5">
      <c r="A326" s="260" t="s">
        <v>1320</v>
      </c>
      <c r="B326" s="261" t="s">
        <v>1319</v>
      </c>
      <c r="C326" s="262" t="s">
        <v>1159</v>
      </c>
      <c r="D326" s="263">
        <v>1</v>
      </c>
      <c r="E326" s="246">
        <v>19</v>
      </c>
    </row>
    <row r="327" spans="1:5" ht="14.4">
      <c r="A327" s="264" t="s">
        <v>1321</v>
      </c>
      <c r="B327" s="265" t="s">
        <v>914</v>
      </c>
      <c r="C327" s="266" t="s">
        <v>1087</v>
      </c>
      <c r="D327" s="267">
        <v>1</v>
      </c>
      <c r="E327" s="268">
        <v>19</v>
      </c>
    </row>
    <row r="328" spans="1:5">
      <c r="A328" s="260" t="s">
        <v>1322</v>
      </c>
      <c r="B328" s="261" t="s">
        <v>914</v>
      </c>
      <c r="C328" s="262" t="s">
        <v>1087</v>
      </c>
      <c r="D328" s="263">
        <v>1</v>
      </c>
      <c r="E328" s="246">
        <v>19</v>
      </c>
    </row>
    <row r="329" spans="1:5" ht="14.4">
      <c r="A329" s="264" t="s">
        <v>1323</v>
      </c>
      <c r="B329" s="265" t="s">
        <v>1324</v>
      </c>
      <c r="C329" s="266" t="s">
        <v>1159</v>
      </c>
      <c r="D329" s="267">
        <v>1</v>
      </c>
      <c r="E329" s="268">
        <v>19</v>
      </c>
    </row>
    <row r="330" spans="1:5" ht="14.4">
      <c r="A330" s="264" t="s">
        <v>1325</v>
      </c>
      <c r="B330" s="265" t="s">
        <v>1326</v>
      </c>
      <c r="C330" s="266" t="s">
        <v>1087</v>
      </c>
      <c r="D330" s="267">
        <v>1</v>
      </c>
      <c r="E330" s="268">
        <v>19</v>
      </c>
    </row>
    <row r="331" spans="1:5" ht="14.4">
      <c r="A331" s="264" t="s">
        <v>1327</v>
      </c>
      <c r="B331" s="265" t="s">
        <v>1328</v>
      </c>
      <c r="C331" s="266" t="s">
        <v>1064</v>
      </c>
      <c r="D331" s="267">
        <v>1</v>
      </c>
      <c r="E331" s="268">
        <v>19</v>
      </c>
    </row>
    <row r="332" spans="1:5" ht="14.4">
      <c r="A332" s="264" t="s">
        <v>1329</v>
      </c>
      <c r="B332" s="265" t="s">
        <v>1328</v>
      </c>
      <c r="C332" s="266" t="s">
        <v>1064</v>
      </c>
      <c r="D332" s="267">
        <v>1</v>
      </c>
      <c r="E332" s="268">
        <v>19</v>
      </c>
    </row>
    <row r="333" spans="1:5" ht="14.4">
      <c r="A333" s="264" t="s">
        <v>1330</v>
      </c>
      <c r="B333" s="265" t="s">
        <v>1331</v>
      </c>
      <c r="C333" s="266" t="s">
        <v>1053</v>
      </c>
      <c r="D333" s="267">
        <v>1</v>
      </c>
      <c r="E333" s="246">
        <v>19</v>
      </c>
    </row>
    <row r="334" spans="1:5" ht="14.4">
      <c r="A334" s="264" t="s">
        <v>1332</v>
      </c>
      <c r="B334" s="265" t="s">
        <v>913</v>
      </c>
      <c r="C334" s="266" t="s">
        <v>1333</v>
      </c>
      <c r="D334" s="267">
        <v>1</v>
      </c>
      <c r="E334" s="268">
        <v>19</v>
      </c>
    </row>
    <row r="335" spans="1:5" ht="14.4">
      <c r="A335" s="264" t="s">
        <v>1334</v>
      </c>
      <c r="B335" s="265" t="s">
        <v>1335</v>
      </c>
      <c r="C335" s="266" t="s">
        <v>1336</v>
      </c>
      <c r="D335" s="267">
        <v>1</v>
      </c>
      <c r="E335" s="268">
        <v>19</v>
      </c>
    </row>
    <row r="336" spans="1:5" ht="14.4">
      <c r="A336" s="264" t="s">
        <v>1337</v>
      </c>
      <c r="B336" s="265" t="s">
        <v>1338</v>
      </c>
      <c r="C336" s="266" t="s">
        <v>1053</v>
      </c>
      <c r="D336" s="267">
        <v>18</v>
      </c>
      <c r="E336" s="268">
        <v>19</v>
      </c>
    </row>
    <row r="337" spans="1:5" ht="14.4">
      <c r="A337" s="264" t="s">
        <v>1339</v>
      </c>
      <c r="B337" s="265" t="s">
        <v>1340</v>
      </c>
      <c r="C337" s="266" t="s">
        <v>1087</v>
      </c>
      <c r="D337" s="267">
        <v>1</v>
      </c>
      <c r="E337" s="268">
        <v>19</v>
      </c>
    </row>
    <row r="338" spans="1:5">
      <c r="A338" s="260" t="s">
        <v>1341</v>
      </c>
      <c r="B338" s="261" t="s">
        <v>1342</v>
      </c>
      <c r="C338" s="262" t="s">
        <v>1087</v>
      </c>
      <c r="D338" s="263">
        <v>2</v>
      </c>
      <c r="E338" s="246">
        <v>20</v>
      </c>
    </row>
    <row r="339" spans="1:5">
      <c r="A339" s="260" t="s">
        <v>1343</v>
      </c>
      <c r="B339" s="261" t="s">
        <v>1344</v>
      </c>
      <c r="C339" s="262" t="s">
        <v>1053</v>
      </c>
      <c r="D339" s="263">
        <v>1</v>
      </c>
      <c r="E339" s="246">
        <v>20</v>
      </c>
    </row>
    <row r="340" spans="1:5">
      <c r="A340" s="260" t="s">
        <v>1345</v>
      </c>
      <c r="B340" s="261" t="s">
        <v>1346</v>
      </c>
      <c r="C340" s="262" t="s">
        <v>1087</v>
      </c>
      <c r="D340" s="263">
        <v>1</v>
      </c>
      <c r="E340" s="246">
        <v>20</v>
      </c>
    </row>
    <row r="341" spans="1:5">
      <c r="A341" s="260" t="s">
        <v>1347</v>
      </c>
      <c r="B341" s="261" t="s">
        <v>1348</v>
      </c>
      <c r="C341" s="262" t="s">
        <v>1159</v>
      </c>
      <c r="D341" s="263">
        <v>1</v>
      </c>
      <c r="E341" s="246">
        <v>20</v>
      </c>
    </row>
    <row r="342" spans="1:5">
      <c r="A342" s="260" t="s">
        <v>1347</v>
      </c>
      <c r="B342" s="261" t="s">
        <v>1348</v>
      </c>
      <c r="C342" s="262" t="s">
        <v>1159</v>
      </c>
      <c r="D342" s="263">
        <v>1</v>
      </c>
      <c r="E342" s="246">
        <v>20</v>
      </c>
    </row>
    <row r="343" spans="1:5">
      <c r="A343" s="260" t="s">
        <v>1349</v>
      </c>
      <c r="B343" s="261" t="s">
        <v>1350</v>
      </c>
      <c r="C343" s="262" t="s">
        <v>1087</v>
      </c>
      <c r="D343" s="263">
        <v>3</v>
      </c>
      <c r="E343" s="246">
        <v>21</v>
      </c>
    </row>
    <row r="344" spans="1:5">
      <c r="A344" s="260" t="s">
        <v>1351</v>
      </c>
      <c r="B344" s="261" t="s">
        <v>1352</v>
      </c>
      <c r="C344" s="262" t="s">
        <v>1087</v>
      </c>
      <c r="D344" s="263">
        <v>1</v>
      </c>
      <c r="E344" s="246">
        <v>21</v>
      </c>
    </row>
    <row r="345" spans="1:5" ht="14.4">
      <c r="A345" s="264" t="s">
        <v>1353</v>
      </c>
      <c r="B345" s="265" t="s">
        <v>1354</v>
      </c>
      <c r="C345" s="266" t="s">
        <v>1355</v>
      </c>
      <c r="D345" s="267">
        <v>17</v>
      </c>
      <c r="E345" s="268">
        <v>22</v>
      </c>
    </row>
    <row r="346" spans="1:5">
      <c r="A346" s="260" t="s">
        <v>1356</v>
      </c>
      <c r="B346" s="261" t="s">
        <v>1354</v>
      </c>
      <c r="C346" s="262" t="s">
        <v>1355</v>
      </c>
      <c r="D346" s="263">
        <v>40</v>
      </c>
      <c r="E346" s="246">
        <v>23</v>
      </c>
    </row>
    <row r="347" spans="1:5">
      <c r="A347" s="260" t="s">
        <v>1357</v>
      </c>
      <c r="B347" s="261" t="s">
        <v>1354</v>
      </c>
      <c r="C347" s="262" t="s">
        <v>1355</v>
      </c>
      <c r="D347" s="263">
        <v>11</v>
      </c>
      <c r="E347" s="246">
        <v>24</v>
      </c>
    </row>
    <row r="348" spans="1:5">
      <c r="A348" s="260" t="s">
        <v>1358</v>
      </c>
      <c r="B348" s="261" t="s">
        <v>1354</v>
      </c>
      <c r="C348" s="262" t="s">
        <v>1355</v>
      </c>
      <c r="D348" s="263">
        <v>5</v>
      </c>
      <c r="E348" s="246">
        <v>25</v>
      </c>
    </row>
    <row r="349" spans="1:5">
      <c r="A349" s="260" t="s">
        <v>1359</v>
      </c>
      <c r="B349" s="261" t="s">
        <v>1354</v>
      </c>
      <c r="C349" s="262" t="s">
        <v>1360</v>
      </c>
      <c r="D349" s="263">
        <v>27</v>
      </c>
      <c r="E349" s="246">
        <v>26</v>
      </c>
    </row>
    <row r="350" spans="1:5">
      <c r="A350" s="260" t="s">
        <v>1361</v>
      </c>
      <c r="B350" s="261" t="s">
        <v>1354</v>
      </c>
      <c r="C350" s="262" t="s">
        <v>1355</v>
      </c>
      <c r="D350" s="263">
        <v>3</v>
      </c>
      <c r="E350" s="246">
        <v>21</v>
      </c>
    </row>
    <row r="351" spans="1:5" ht="14.4">
      <c r="A351" s="264" t="s">
        <v>1362</v>
      </c>
      <c r="B351" s="265" t="s">
        <v>1363</v>
      </c>
      <c r="C351" s="266" t="s">
        <v>1355</v>
      </c>
      <c r="D351" s="263">
        <v>54</v>
      </c>
      <c r="E351" s="246">
        <v>27</v>
      </c>
    </row>
    <row r="352" spans="1:5">
      <c r="A352" s="260" t="s">
        <v>1364</v>
      </c>
      <c r="B352" s="261" t="s">
        <v>1363</v>
      </c>
      <c r="C352" s="262" t="s">
        <v>1355</v>
      </c>
      <c r="D352" s="263">
        <v>6</v>
      </c>
      <c r="E352" s="246">
        <v>28</v>
      </c>
    </row>
    <row r="353" spans="1:5">
      <c r="A353" s="260" t="s">
        <v>1365</v>
      </c>
      <c r="B353" s="261" t="s">
        <v>1363</v>
      </c>
      <c r="C353" s="262" t="s">
        <v>1360</v>
      </c>
      <c r="D353" s="263">
        <v>7</v>
      </c>
      <c r="E353" s="246">
        <v>29</v>
      </c>
    </row>
    <row r="354" spans="1:5">
      <c r="A354" s="260" t="s">
        <v>1366</v>
      </c>
      <c r="B354" s="261" t="s">
        <v>1363</v>
      </c>
      <c r="C354" s="262" t="s">
        <v>1355</v>
      </c>
      <c r="D354" s="263">
        <v>1</v>
      </c>
      <c r="E354" s="246">
        <v>21</v>
      </c>
    </row>
    <row r="355" spans="1:5" ht="14.4">
      <c r="A355" s="264" t="s">
        <v>1367</v>
      </c>
      <c r="B355" s="261" t="s">
        <v>1368</v>
      </c>
      <c r="C355" s="266" t="s">
        <v>1355</v>
      </c>
      <c r="D355" s="267">
        <v>5</v>
      </c>
      <c r="E355" s="268">
        <v>30</v>
      </c>
    </row>
    <row r="356" spans="1:5">
      <c r="A356" s="260" t="s">
        <v>1369</v>
      </c>
      <c r="B356" s="261" t="s">
        <v>1368</v>
      </c>
      <c r="C356" s="262" t="s">
        <v>1355</v>
      </c>
      <c r="D356" s="263">
        <v>326</v>
      </c>
      <c r="E356" s="246">
        <v>31</v>
      </c>
    </row>
    <row r="357" spans="1:5">
      <c r="A357" s="260" t="s">
        <v>1370</v>
      </c>
      <c r="B357" s="261" t="s">
        <v>1368</v>
      </c>
      <c r="C357" s="262" t="s">
        <v>1355</v>
      </c>
      <c r="D357" s="263">
        <v>3</v>
      </c>
      <c r="E357" s="246">
        <v>30</v>
      </c>
    </row>
    <row r="358" spans="1:5">
      <c r="A358" s="260" t="s">
        <v>1371</v>
      </c>
      <c r="B358" s="261" t="s">
        <v>1368</v>
      </c>
      <c r="C358" s="262" t="s">
        <v>1355</v>
      </c>
      <c r="D358" s="263">
        <v>3</v>
      </c>
      <c r="E358" s="246">
        <v>30</v>
      </c>
    </row>
    <row r="359" spans="1:5">
      <c r="A359" s="260" t="s">
        <v>1372</v>
      </c>
      <c r="B359" s="261" t="s">
        <v>1368</v>
      </c>
      <c r="C359" s="262" t="s">
        <v>1355</v>
      </c>
      <c r="D359" s="263">
        <v>2</v>
      </c>
      <c r="E359" s="246">
        <v>30</v>
      </c>
    </row>
    <row r="360" spans="1:5">
      <c r="A360" s="260"/>
      <c r="B360" s="261"/>
      <c r="C360" s="262"/>
      <c r="D360" s="263">
        <f>SUM(D13:D359)</f>
        <v>1342</v>
      </c>
      <c r="E360" s="246"/>
    </row>
    <row r="361" spans="1:5" ht="13.15">
      <c r="A361" s="115"/>
      <c r="B361" s="116"/>
      <c r="C361" s="117"/>
      <c r="D361" s="118"/>
      <c r="E361" s="113"/>
    </row>
    <row r="362" spans="1:5">
      <c r="E362" s="113"/>
    </row>
    <row r="363" spans="1:5">
      <c r="E363" s="113"/>
    </row>
  </sheetData>
  <mergeCells count="2">
    <mergeCell ref="A6:D6"/>
    <mergeCell ref="B1:E1"/>
  </mergeCells>
  <pageMargins left="0.70866141732283472" right="0.70866141732283472" top="0.59055118110236227" bottom="0.39370078740157483" header="0.31496062992125984" footer="0.31496062992125984"/>
  <pageSetup paperSize="9" scale="8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F111"/>
  <sheetViews>
    <sheetView topLeftCell="A94" workbookViewId="0">
      <selection activeCell="G111" sqref="G111"/>
    </sheetView>
  </sheetViews>
  <sheetFormatPr baseColWidth="10" defaultRowHeight="12.55"/>
  <cols>
    <col min="1" max="1" width="14.88671875" style="77" customWidth="1"/>
    <col min="2" max="2" width="24.6640625" customWidth="1"/>
    <col min="3" max="3" width="18.88671875" customWidth="1"/>
    <col min="6" max="6" width="41.5546875" customWidth="1"/>
    <col min="7" max="8" width="51.77734375" customWidth="1"/>
  </cols>
  <sheetData>
    <row r="1" spans="1:6" ht="15.65" thickBot="1">
      <c r="A1" s="104" t="s">
        <v>911</v>
      </c>
      <c r="B1" s="104" t="s">
        <v>1029</v>
      </c>
      <c r="C1" s="104" t="s">
        <v>1021</v>
      </c>
      <c r="D1" s="104" t="s">
        <v>912</v>
      </c>
      <c r="E1" s="104" t="s">
        <v>1030</v>
      </c>
      <c r="F1" s="104" t="s">
        <v>1022</v>
      </c>
    </row>
    <row r="2" spans="1:6">
      <c r="A2" s="109" t="s">
        <v>913</v>
      </c>
      <c r="B2" s="107" t="s">
        <v>1023</v>
      </c>
      <c r="C2" s="106">
        <v>27</v>
      </c>
      <c r="D2" s="108">
        <v>7.1</v>
      </c>
      <c r="E2" s="108">
        <f>(C2*D2)</f>
        <v>191.7</v>
      </c>
      <c r="F2" s="106"/>
    </row>
    <row r="3" spans="1:6">
      <c r="A3" s="109" t="s">
        <v>914</v>
      </c>
      <c r="B3" s="107" t="s">
        <v>1023</v>
      </c>
      <c r="C3" s="106">
        <v>11</v>
      </c>
      <c r="D3" s="108">
        <v>7.1</v>
      </c>
      <c r="E3" s="108">
        <f t="shared" ref="E3:E66" si="0">(C3*D3)</f>
        <v>78.099999999999994</v>
      </c>
      <c r="F3" s="106"/>
    </row>
    <row r="4" spans="1:6">
      <c r="A4" s="109" t="s">
        <v>915</v>
      </c>
      <c r="B4" s="107" t="s">
        <v>1024</v>
      </c>
      <c r="C4" s="106">
        <v>2</v>
      </c>
      <c r="D4" s="108">
        <v>7.4</v>
      </c>
      <c r="E4" s="108">
        <f t="shared" si="0"/>
        <v>14.8</v>
      </c>
      <c r="F4" s="106"/>
    </row>
    <row r="5" spans="1:6">
      <c r="A5" s="109" t="s">
        <v>916</v>
      </c>
      <c r="B5" s="107" t="s">
        <v>1024</v>
      </c>
      <c r="C5" s="106">
        <v>13</v>
      </c>
      <c r="D5" s="108">
        <v>7.4</v>
      </c>
      <c r="E5" s="108">
        <f t="shared" si="0"/>
        <v>96.2</v>
      </c>
      <c r="F5" s="106"/>
    </row>
    <row r="6" spans="1:6">
      <c r="A6" s="109" t="s">
        <v>917</v>
      </c>
      <c r="B6" s="107" t="s">
        <v>1023</v>
      </c>
      <c r="C6" s="106">
        <v>1</v>
      </c>
      <c r="D6" s="108">
        <v>7.1</v>
      </c>
      <c r="E6" s="108">
        <f t="shared" si="0"/>
        <v>7.1</v>
      </c>
      <c r="F6" s="106"/>
    </row>
    <row r="7" spans="1:6">
      <c r="A7" s="109" t="s">
        <v>918</v>
      </c>
      <c r="B7" s="107" t="s">
        <v>1024</v>
      </c>
      <c r="C7" s="106">
        <v>3</v>
      </c>
      <c r="D7" s="108">
        <v>7.4</v>
      </c>
      <c r="E7" s="108">
        <f t="shared" si="0"/>
        <v>22.200000000000003</v>
      </c>
      <c r="F7" s="106"/>
    </row>
    <row r="8" spans="1:6">
      <c r="A8" s="109" t="s">
        <v>919</v>
      </c>
      <c r="B8" s="107" t="s">
        <v>1024</v>
      </c>
      <c r="C8" s="106">
        <v>3</v>
      </c>
      <c r="D8" s="108">
        <v>7.1</v>
      </c>
      <c r="E8" s="108">
        <f t="shared" si="0"/>
        <v>21.299999999999997</v>
      </c>
      <c r="F8" s="106"/>
    </row>
    <row r="9" spans="1:6">
      <c r="A9" s="109" t="s">
        <v>920</v>
      </c>
      <c r="B9" s="107" t="s">
        <v>1024</v>
      </c>
      <c r="C9" s="106">
        <v>5</v>
      </c>
      <c r="D9" s="108">
        <v>10.36</v>
      </c>
      <c r="E9" s="108">
        <f t="shared" si="0"/>
        <v>51.8</v>
      </c>
      <c r="F9" s="106"/>
    </row>
    <row r="10" spans="1:6">
      <c r="A10" s="109" t="s">
        <v>921</v>
      </c>
      <c r="B10" s="107" t="s">
        <v>1024</v>
      </c>
      <c r="C10" s="106">
        <v>12</v>
      </c>
      <c r="D10" s="108">
        <v>10.36</v>
      </c>
      <c r="E10" s="108">
        <f t="shared" si="0"/>
        <v>124.32</v>
      </c>
      <c r="F10" s="106"/>
    </row>
    <row r="11" spans="1:6">
      <c r="A11" s="109" t="s">
        <v>922</v>
      </c>
      <c r="B11" s="107" t="s">
        <v>1024</v>
      </c>
      <c r="C11" s="106">
        <v>7</v>
      </c>
      <c r="D11" s="108">
        <v>10.36</v>
      </c>
      <c r="E11" s="108">
        <f t="shared" si="0"/>
        <v>72.52</v>
      </c>
      <c r="F11" s="106"/>
    </row>
    <row r="12" spans="1:6">
      <c r="A12" s="109" t="s">
        <v>923</v>
      </c>
      <c r="B12" s="107" t="s">
        <v>1024</v>
      </c>
      <c r="C12" s="106">
        <v>19</v>
      </c>
      <c r="D12" s="108">
        <v>10.36</v>
      </c>
      <c r="E12" s="108">
        <f t="shared" si="0"/>
        <v>196.83999999999997</v>
      </c>
      <c r="F12" s="106"/>
    </row>
    <row r="13" spans="1:6">
      <c r="A13" s="109" t="s">
        <v>924</v>
      </c>
      <c r="B13" s="107" t="s">
        <v>1024</v>
      </c>
      <c r="C13" s="106">
        <v>21</v>
      </c>
      <c r="D13" s="108">
        <v>10.36</v>
      </c>
      <c r="E13" s="108">
        <f t="shared" si="0"/>
        <v>217.56</v>
      </c>
      <c r="F13" s="106"/>
    </row>
    <row r="14" spans="1:6">
      <c r="A14" s="109" t="s">
        <v>925</v>
      </c>
      <c r="B14" s="107" t="s">
        <v>1024</v>
      </c>
      <c r="C14" s="106">
        <v>2</v>
      </c>
      <c r="D14" s="108">
        <v>10.78</v>
      </c>
      <c r="E14" s="108">
        <f t="shared" si="0"/>
        <v>21.56</v>
      </c>
      <c r="F14" s="106"/>
    </row>
    <row r="15" spans="1:6">
      <c r="A15" s="109" t="s">
        <v>926</v>
      </c>
      <c r="B15" s="107" t="s">
        <v>1024</v>
      </c>
      <c r="C15" s="106">
        <v>5</v>
      </c>
      <c r="D15" s="108">
        <v>10.36</v>
      </c>
      <c r="E15" s="108">
        <f t="shared" si="0"/>
        <v>51.8</v>
      </c>
      <c r="F15" s="106"/>
    </row>
    <row r="16" spans="1:6">
      <c r="A16" s="109" t="s">
        <v>927</v>
      </c>
      <c r="B16" s="107" t="s">
        <v>1024</v>
      </c>
      <c r="C16" s="106">
        <v>16</v>
      </c>
      <c r="D16" s="108">
        <v>10.36</v>
      </c>
      <c r="E16" s="108">
        <f t="shared" si="0"/>
        <v>165.76</v>
      </c>
      <c r="F16" s="106"/>
    </row>
    <row r="17" spans="1:6">
      <c r="A17" s="109" t="s">
        <v>928</v>
      </c>
      <c r="B17" s="107" t="s">
        <v>1023</v>
      </c>
      <c r="C17" s="106">
        <v>5</v>
      </c>
      <c r="D17" s="108">
        <v>9.94</v>
      </c>
      <c r="E17" s="108">
        <f t="shared" si="0"/>
        <v>49.699999999999996</v>
      </c>
      <c r="F17" s="106"/>
    </row>
    <row r="18" spans="1:6">
      <c r="A18" s="109" t="s">
        <v>929</v>
      </c>
      <c r="B18" s="107" t="s">
        <v>1023</v>
      </c>
      <c r="C18" s="106">
        <v>64</v>
      </c>
      <c r="D18" s="108">
        <v>14.2</v>
      </c>
      <c r="E18" s="108">
        <f t="shared" si="0"/>
        <v>908.8</v>
      </c>
      <c r="F18" s="106"/>
    </row>
    <row r="19" spans="1:6">
      <c r="A19" s="109" t="s">
        <v>930</v>
      </c>
      <c r="B19" s="107" t="s">
        <v>1023</v>
      </c>
      <c r="C19" s="106">
        <v>2</v>
      </c>
      <c r="D19" s="108">
        <v>14.8</v>
      </c>
      <c r="E19" s="108">
        <f t="shared" si="0"/>
        <v>29.6</v>
      </c>
      <c r="F19" s="106"/>
    </row>
    <row r="20" spans="1:6">
      <c r="A20" s="109" t="s">
        <v>931</v>
      </c>
      <c r="B20" s="107" t="s">
        <v>1024</v>
      </c>
      <c r="C20" s="106">
        <v>11</v>
      </c>
      <c r="D20" s="108">
        <v>14.8</v>
      </c>
      <c r="E20" s="108">
        <f t="shared" si="0"/>
        <v>162.80000000000001</v>
      </c>
      <c r="F20" s="106"/>
    </row>
    <row r="21" spans="1:6">
      <c r="A21" s="109" t="s">
        <v>932</v>
      </c>
      <c r="B21" s="107" t="s">
        <v>1024</v>
      </c>
      <c r="C21" s="106">
        <v>68</v>
      </c>
      <c r="D21" s="108">
        <v>14.8</v>
      </c>
      <c r="E21" s="108">
        <f t="shared" si="0"/>
        <v>1006.4000000000001</v>
      </c>
      <c r="F21" s="106"/>
    </row>
    <row r="22" spans="1:6">
      <c r="A22" s="109" t="s">
        <v>933</v>
      </c>
      <c r="B22" s="107" t="s">
        <v>1024</v>
      </c>
      <c r="C22" s="106">
        <v>6</v>
      </c>
      <c r="D22" s="108">
        <v>15.4</v>
      </c>
      <c r="E22" s="108">
        <f t="shared" si="0"/>
        <v>92.4</v>
      </c>
      <c r="F22" s="106"/>
    </row>
    <row r="23" spans="1:6">
      <c r="A23" s="109" t="s">
        <v>934</v>
      </c>
      <c r="B23" s="107" t="s">
        <v>1024</v>
      </c>
      <c r="C23" s="106">
        <v>91</v>
      </c>
      <c r="D23" s="108">
        <v>14.8</v>
      </c>
      <c r="E23" s="108">
        <f t="shared" si="0"/>
        <v>1346.8</v>
      </c>
      <c r="F23" s="106"/>
    </row>
    <row r="24" spans="1:6">
      <c r="A24" s="109" t="s">
        <v>935</v>
      </c>
      <c r="B24" s="107" t="s">
        <v>1024</v>
      </c>
      <c r="C24" s="106">
        <v>7</v>
      </c>
      <c r="D24" s="108">
        <v>15.4</v>
      </c>
      <c r="E24" s="108">
        <f t="shared" si="0"/>
        <v>107.8</v>
      </c>
      <c r="F24" s="106"/>
    </row>
    <row r="25" spans="1:6">
      <c r="A25" s="109" t="s">
        <v>936</v>
      </c>
      <c r="B25" s="107" t="s">
        <v>1024</v>
      </c>
      <c r="C25" s="106">
        <v>10</v>
      </c>
      <c r="D25" s="108">
        <v>14.8</v>
      </c>
      <c r="E25" s="108">
        <f t="shared" si="0"/>
        <v>148</v>
      </c>
      <c r="F25" s="106"/>
    </row>
    <row r="26" spans="1:6">
      <c r="A26" s="109" t="s">
        <v>937</v>
      </c>
      <c r="B26" s="107" t="s">
        <v>1024</v>
      </c>
      <c r="C26" s="106">
        <v>1</v>
      </c>
      <c r="D26" s="108">
        <v>15.4</v>
      </c>
      <c r="E26" s="108">
        <f t="shared" si="0"/>
        <v>15.4</v>
      </c>
      <c r="F26" s="106"/>
    </row>
    <row r="27" spans="1:6">
      <c r="A27" s="109" t="s">
        <v>938</v>
      </c>
      <c r="B27" s="107" t="s">
        <v>1024</v>
      </c>
      <c r="C27" s="106">
        <v>112</v>
      </c>
      <c r="D27" s="108">
        <v>14.8</v>
      </c>
      <c r="E27" s="108">
        <f t="shared" si="0"/>
        <v>1657.6000000000001</v>
      </c>
      <c r="F27" s="106"/>
    </row>
    <row r="28" spans="1:6">
      <c r="A28" s="109" t="s">
        <v>939</v>
      </c>
      <c r="B28" s="107" t="s">
        <v>1024</v>
      </c>
      <c r="C28" s="106">
        <v>9</v>
      </c>
      <c r="D28" s="108">
        <v>15.4</v>
      </c>
      <c r="E28" s="108">
        <f t="shared" si="0"/>
        <v>138.6</v>
      </c>
      <c r="F28" s="106"/>
    </row>
    <row r="29" spans="1:6">
      <c r="A29" s="109" t="s">
        <v>940</v>
      </c>
      <c r="B29" s="107" t="s">
        <v>1024</v>
      </c>
      <c r="C29" s="106">
        <v>47</v>
      </c>
      <c r="D29" s="108">
        <v>14.8</v>
      </c>
      <c r="E29" s="108">
        <f t="shared" si="0"/>
        <v>695.6</v>
      </c>
      <c r="F29" s="106"/>
    </row>
    <row r="30" spans="1:6">
      <c r="A30" s="109" t="s">
        <v>941</v>
      </c>
      <c r="B30" s="107" t="s">
        <v>1024</v>
      </c>
      <c r="C30" s="106">
        <v>8</v>
      </c>
      <c r="D30" s="108">
        <v>15.4</v>
      </c>
      <c r="E30" s="108">
        <f t="shared" si="0"/>
        <v>123.2</v>
      </c>
      <c r="F30" s="106"/>
    </row>
    <row r="31" spans="1:6">
      <c r="A31" s="109" t="s">
        <v>942</v>
      </c>
      <c r="B31" s="107" t="s">
        <v>1024</v>
      </c>
      <c r="C31" s="106">
        <v>37</v>
      </c>
      <c r="D31" s="108">
        <v>14.8</v>
      </c>
      <c r="E31" s="108">
        <f t="shared" si="0"/>
        <v>547.6</v>
      </c>
      <c r="F31" s="106"/>
    </row>
    <row r="32" spans="1:6">
      <c r="A32" s="109" t="s">
        <v>943</v>
      </c>
      <c r="B32" s="107" t="s">
        <v>1024</v>
      </c>
      <c r="C32" s="106">
        <v>2</v>
      </c>
      <c r="D32" s="108">
        <v>15.4</v>
      </c>
      <c r="E32" s="108">
        <f t="shared" si="0"/>
        <v>30.8</v>
      </c>
      <c r="F32" s="106"/>
    </row>
    <row r="33" spans="1:6">
      <c r="A33" s="109" t="s">
        <v>944</v>
      </c>
      <c r="B33" s="107" t="s">
        <v>1023</v>
      </c>
      <c r="C33" s="106">
        <v>60</v>
      </c>
      <c r="D33" s="108">
        <v>14.2</v>
      </c>
      <c r="E33" s="108">
        <f t="shared" si="0"/>
        <v>852</v>
      </c>
      <c r="F33" s="106"/>
    </row>
    <row r="34" spans="1:6">
      <c r="A34" s="109" t="s">
        <v>945</v>
      </c>
      <c r="B34" s="107" t="s">
        <v>1024</v>
      </c>
      <c r="C34" s="106">
        <v>2</v>
      </c>
      <c r="D34" s="108">
        <v>15.4</v>
      </c>
      <c r="E34" s="108">
        <f t="shared" si="0"/>
        <v>30.8</v>
      </c>
      <c r="F34" s="106"/>
    </row>
    <row r="35" spans="1:6">
      <c r="A35" s="109" t="s">
        <v>946</v>
      </c>
      <c r="B35" s="107" t="s">
        <v>1024</v>
      </c>
      <c r="C35" s="106">
        <v>1</v>
      </c>
      <c r="D35" s="108">
        <v>15.4</v>
      </c>
      <c r="E35" s="108">
        <f t="shared" si="0"/>
        <v>15.4</v>
      </c>
      <c r="F35" s="106"/>
    </row>
    <row r="36" spans="1:6">
      <c r="A36" s="109" t="s">
        <v>947</v>
      </c>
      <c r="B36" s="107" t="s">
        <v>1023</v>
      </c>
      <c r="C36" s="106">
        <v>6</v>
      </c>
      <c r="D36" s="108">
        <v>14.8</v>
      </c>
      <c r="E36" s="108">
        <f t="shared" si="0"/>
        <v>88.800000000000011</v>
      </c>
      <c r="F36" s="106"/>
    </row>
    <row r="37" spans="1:6">
      <c r="A37" s="109" t="s">
        <v>948</v>
      </c>
      <c r="B37" s="107" t="s">
        <v>1024</v>
      </c>
      <c r="C37" s="106">
        <v>17</v>
      </c>
      <c r="D37" s="108">
        <v>14.8</v>
      </c>
      <c r="E37" s="108">
        <f t="shared" si="0"/>
        <v>251.60000000000002</v>
      </c>
      <c r="F37" s="106"/>
    </row>
    <row r="38" spans="1:6">
      <c r="A38" s="109" t="s">
        <v>949</v>
      </c>
      <c r="B38" s="107" t="s">
        <v>1024</v>
      </c>
      <c r="C38" s="106">
        <v>39</v>
      </c>
      <c r="D38" s="108">
        <v>14.8</v>
      </c>
      <c r="E38" s="108">
        <f t="shared" si="0"/>
        <v>577.20000000000005</v>
      </c>
      <c r="F38" s="106"/>
    </row>
    <row r="39" spans="1:6">
      <c r="A39" s="109" t="s">
        <v>950</v>
      </c>
      <c r="B39" s="107" t="s">
        <v>1024</v>
      </c>
      <c r="C39" s="106">
        <v>3</v>
      </c>
      <c r="D39" s="108">
        <v>15.4</v>
      </c>
      <c r="E39" s="108">
        <f t="shared" si="0"/>
        <v>46.2</v>
      </c>
      <c r="F39" s="106"/>
    </row>
    <row r="40" spans="1:6">
      <c r="A40" s="109" t="s">
        <v>951</v>
      </c>
      <c r="B40" s="107" t="s">
        <v>1024</v>
      </c>
      <c r="C40" s="106">
        <v>7</v>
      </c>
      <c r="D40" s="108">
        <v>15.4</v>
      </c>
      <c r="E40" s="108">
        <f t="shared" si="0"/>
        <v>107.8</v>
      </c>
      <c r="F40" s="106"/>
    </row>
    <row r="41" spans="1:6">
      <c r="A41" s="109" t="s">
        <v>952</v>
      </c>
      <c r="B41" s="107" t="s">
        <v>1025</v>
      </c>
      <c r="C41" s="106">
        <v>3</v>
      </c>
      <c r="D41" s="108">
        <v>14.8</v>
      </c>
      <c r="E41" s="108">
        <f t="shared" si="0"/>
        <v>44.400000000000006</v>
      </c>
      <c r="F41" s="106"/>
    </row>
    <row r="42" spans="1:6">
      <c r="A42" s="109" t="s">
        <v>953</v>
      </c>
      <c r="B42" s="107" t="s">
        <v>1024</v>
      </c>
      <c r="C42" s="106">
        <v>8</v>
      </c>
      <c r="D42" s="108">
        <v>14.8</v>
      </c>
      <c r="E42" s="108">
        <f t="shared" si="0"/>
        <v>118.4</v>
      </c>
      <c r="F42" s="106"/>
    </row>
    <row r="43" spans="1:6">
      <c r="A43" s="109" t="s">
        <v>954</v>
      </c>
      <c r="B43" s="107" t="s">
        <v>1024</v>
      </c>
      <c r="C43" s="106">
        <v>24</v>
      </c>
      <c r="D43" s="108">
        <v>14.8</v>
      </c>
      <c r="E43" s="108">
        <f t="shared" si="0"/>
        <v>355.20000000000005</v>
      </c>
      <c r="F43" s="106"/>
    </row>
    <row r="44" spans="1:6">
      <c r="A44" s="109" t="s">
        <v>955</v>
      </c>
      <c r="B44" s="107" t="s">
        <v>1024</v>
      </c>
      <c r="C44" s="106">
        <v>112</v>
      </c>
      <c r="D44" s="108">
        <v>14.8</v>
      </c>
      <c r="E44" s="108">
        <f t="shared" si="0"/>
        <v>1657.6000000000001</v>
      </c>
      <c r="F44" s="106"/>
    </row>
    <row r="45" spans="1:6">
      <c r="A45" s="109" t="s">
        <v>956</v>
      </c>
      <c r="B45" s="107" t="s">
        <v>1023</v>
      </c>
      <c r="C45" s="106">
        <v>46</v>
      </c>
      <c r="D45" s="108">
        <v>14.2</v>
      </c>
      <c r="E45" s="108">
        <f t="shared" si="0"/>
        <v>653.19999999999993</v>
      </c>
      <c r="F45" s="106"/>
    </row>
    <row r="46" spans="1:6">
      <c r="A46" s="109" t="s">
        <v>957</v>
      </c>
      <c r="B46" s="107" t="s">
        <v>1024</v>
      </c>
      <c r="C46" s="106">
        <v>85</v>
      </c>
      <c r="D46" s="108">
        <v>14.8</v>
      </c>
      <c r="E46" s="108">
        <f t="shared" si="0"/>
        <v>1258</v>
      </c>
      <c r="F46" s="106"/>
    </row>
    <row r="47" spans="1:6">
      <c r="A47" s="109" t="s">
        <v>958</v>
      </c>
      <c r="B47" s="107" t="s">
        <v>1024</v>
      </c>
      <c r="C47" s="106">
        <v>12</v>
      </c>
      <c r="D47" s="108">
        <v>15.4</v>
      </c>
      <c r="E47" s="108">
        <f t="shared" si="0"/>
        <v>184.8</v>
      </c>
      <c r="F47" s="106"/>
    </row>
    <row r="48" spans="1:6">
      <c r="A48" s="109" t="s">
        <v>959</v>
      </c>
      <c r="B48" s="107" t="s">
        <v>1026</v>
      </c>
      <c r="C48" s="106">
        <v>55</v>
      </c>
      <c r="D48" s="108">
        <v>14.8</v>
      </c>
      <c r="E48" s="108">
        <f t="shared" si="0"/>
        <v>814</v>
      </c>
      <c r="F48" s="106"/>
    </row>
    <row r="49" spans="1:6">
      <c r="A49" s="109" t="s">
        <v>960</v>
      </c>
      <c r="B49" s="107" t="s">
        <v>1026</v>
      </c>
      <c r="C49" s="106">
        <v>6</v>
      </c>
      <c r="D49" s="108">
        <v>15.4</v>
      </c>
      <c r="E49" s="108">
        <f t="shared" si="0"/>
        <v>92.4</v>
      </c>
      <c r="F49" s="106"/>
    </row>
    <row r="50" spans="1:6">
      <c r="A50" s="109" t="s">
        <v>961</v>
      </c>
      <c r="B50" s="107" t="s">
        <v>1024</v>
      </c>
      <c r="C50" s="106">
        <v>108</v>
      </c>
      <c r="D50" s="108">
        <v>14.8</v>
      </c>
      <c r="E50" s="108">
        <f t="shared" si="0"/>
        <v>1598.4</v>
      </c>
      <c r="F50" s="106"/>
    </row>
    <row r="51" spans="1:6">
      <c r="A51" s="109" t="s">
        <v>962</v>
      </c>
      <c r="B51" s="107" t="s">
        <v>1024</v>
      </c>
      <c r="C51" s="106">
        <v>16</v>
      </c>
      <c r="D51" s="108">
        <v>15.4</v>
      </c>
      <c r="E51" s="108">
        <f t="shared" si="0"/>
        <v>246.4</v>
      </c>
      <c r="F51" s="106"/>
    </row>
    <row r="52" spans="1:6">
      <c r="A52" s="109" t="s">
        <v>963</v>
      </c>
      <c r="B52" s="107" t="s">
        <v>1023</v>
      </c>
      <c r="C52" s="106">
        <v>80</v>
      </c>
      <c r="D52" s="108">
        <v>14.2</v>
      </c>
      <c r="E52" s="108">
        <f t="shared" si="0"/>
        <v>1136</v>
      </c>
      <c r="F52" s="106"/>
    </row>
    <row r="53" spans="1:6">
      <c r="A53" s="109" t="s">
        <v>964</v>
      </c>
      <c r="B53" s="107" t="s">
        <v>1025</v>
      </c>
      <c r="C53" s="106">
        <v>9</v>
      </c>
      <c r="D53" s="108">
        <v>14.8</v>
      </c>
      <c r="E53" s="108">
        <f t="shared" si="0"/>
        <v>133.20000000000002</v>
      </c>
      <c r="F53" s="106"/>
    </row>
    <row r="54" spans="1:6">
      <c r="A54" s="109" t="s">
        <v>965</v>
      </c>
      <c r="B54" s="107" t="s">
        <v>1023</v>
      </c>
      <c r="C54" s="106">
        <v>43</v>
      </c>
      <c r="D54" s="108">
        <v>14.2</v>
      </c>
      <c r="E54" s="108">
        <f t="shared" si="0"/>
        <v>610.6</v>
      </c>
      <c r="F54" s="106"/>
    </row>
    <row r="55" spans="1:6">
      <c r="A55" s="109" t="s">
        <v>966</v>
      </c>
      <c r="B55" s="107" t="s">
        <v>1023</v>
      </c>
      <c r="C55" s="106">
        <v>3</v>
      </c>
      <c r="D55" s="108">
        <v>14.8</v>
      </c>
      <c r="E55" s="108">
        <f t="shared" si="0"/>
        <v>44.400000000000006</v>
      </c>
      <c r="F55" s="106"/>
    </row>
    <row r="56" spans="1:6">
      <c r="A56" s="109" t="s">
        <v>967</v>
      </c>
      <c r="B56" s="107" t="s">
        <v>1024</v>
      </c>
      <c r="C56" s="106">
        <v>79</v>
      </c>
      <c r="D56" s="108">
        <v>14.8</v>
      </c>
      <c r="E56" s="108">
        <f t="shared" si="0"/>
        <v>1169.2</v>
      </c>
      <c r="F56" s="106"/>
    </row>
    <row r="57" spans="1:6">
      <c r="A57" s="109" t="s">
        <v>968</v>
      </c>
      <c r="B57" s="107" t="s">
        <v>1024</v>
      </c>
      <c r="C57" s="106">
        <v>13</v>
      </c>
      <c r="D57" s="108">
        <v>15.4</v>
      </c>
      <c r="E57" s="108">
        <f t="shared" si="0"/>
        <v>200.20000000000002</v>
      </c>
      <c r="F57" s="106"/>
    </row>
    <row r="58" spans="1:6">
      <c r="A58" s="109" t="s">
        <v>969</v>
      </c>
      <c r="B58" s="107" t="s">
        <v>1024</v>
      </c>
      <c r="C58" s="106">
        <v>8</v>
      </c>
      <c r="D58" s="108">
        <v>14.8</v>
      </c>
      <c r="E58" s="108">
        <f t="shared" si="0"/>
        <v>118.4</v>
      </c>
      <c r="F58" s="106"/>
    </row>
    <row r="59" spans="1:6">
      <c r="A59" s="109" t="s">
        <v>970</v>
      </c>
      <c r="B59" s="107" t="s">
        <v>1024</v>
      </c>
      <c r="C59" s="106">
        <v>2</v>
      </c>
      <c r="D59" s="108">
        <v>15.4</v>
      </c>
      <c r="E59" s="108">
        <f t="shared" si="0"/>
        <v>30.8</v>
      </c>
      <c r="F59" s="106"/>
    </row>
    <row r="60" spans="1:6">
      <c r="A60" s="109" t="s">
        <v>971</v>
      </c>
      <c r="B60" s="107" t="s">
        <v>1024</v>
      </c>
      <c r="C60" s="106">
        <v>134</v>
      </c>
      <c r="D60" s="108">
        <v>14.8</v>
      </c>
      <c r="E60" s="108">
        <f t="shared" si="0"/>
        <v>1983.2</v>
      </c>
      <c r="F60" s="106"/>
    </row>
    <row r="61" spans="1:6">
      <c r="A61" s="109" t="s">
        <v>972</v>
      </c>
      <c r="B61" s="107" t="s">
        <v>1024</v>
      </c>
      <c r="C61" s="106">
        <v>20</v>
      </c>
      <c r="D61" s="108">
        <v>15.4</v>
      </c>
      <c r="E61" s="108">
        <f t="shared" si="0"/>
        <v>308</v>
      </c>
      <c r="F61" s="106"/>
    </row>
    <row r="62" spans="1:6">
      <c r="A62" s="109" t="s">
        <v>973</v>
      </c>
      <c r="B62" s="107" t="s">
        <v>1023</v>
      </c>
      <c r="C62" s="106">
        <v>76</v>
      </c>
      <c r="D62" s="108">
        <v>14.2</v>
      </c>
      <c r="E62" s="108">
        <f t="shared" si="0"/>
        <v>1079.2</v>
      </c>
      <c r="F62" s="106"/>
    </row>
    <row r="63" spans="1:6">
      <c r="A63" s="109" t="s">
        <v>974</v>
      </c>
      <c r="B63" s="107" t="s">
        <v>1023</v>
      </c>
      <c r="C63" s="106">
        <v>9</v>
      </c>
      <c r="D63" s="108">
        <v>14.8</v>
      </c>
      <c r="E63" s="108">
        <f t="shared" si="0"/>
        <v>133.20000000000002</v>
      </c>
      <c r="F63" s="106"/>
    </row>
    <row r="64" spans="1:6">
      <c r="A64" s="109" t="s">
        <v>975</v>
      </c>
      <c r="B64" s="107" t="s">
        <v>1024</v>
      </c>
      <c r="C64" s="106">
        <v>11</v>
      </c>
      <c r="D64" s="108">
        <v>15.4</v>
      </c>
      <c r="E64" s="108">
        <f t="shared" si="0"/>
        <v>169.4</v>
      </c>
      <c r="F64" s="106"/>
    </row>
    <row r="65" spans="1:6">
      <c r="A65" s="109" t="s">
        <v>976</v>
      </c>
      <c r="B65" s="107" t="s">
        <v>1024</v>
      </c>
      <c r="C65" s="106">
        <v>36</v>
      </c>
      <c r="D65" s="108">
        <v>14.8</v>
      </c>
      <c r="E65" s="108">
        <f t="shared" si="0"/>
        <v>532.80000000000007</v>
      </c>
      <c r="F65" s="106"/>
    </row>
    <row r="66" spans="1:6">
      <c r="A66" s="109" t="s">
        <v>977</v>
      </c>
      <c r="B66" s="107" t="s">
        <v>1027</v>
      </c>
      <c r="C66" s="106">
        <v>46</v>
      </c>
      <c r="D66" s="108">
        <v>14.2</v>
      </c>
      <c r="E66" s="108">
        <f t="shared" si="0"/>
        <v>653.19999999999993</v>
      </c>
      <c r="F66" s="106"/>
    </row>
    <row r="67" spans="1:6">
      <c r="A67" s="109" t="s">
        <v>978</v>
      </c>
      <c r="B67" s="107" t="s">
        <v>1025</v>
      </c>
      <c r="C67" s="106">
        <v>4</v>
      </c>
      <c r="D67" s="108">
        <v>14.8</v>
      </c>
      <c r="E67" s="108">
        <f t="shared" ref="E67:E109" si="1">(C67*D67)</f>
        <v>59.2</v>
      </c>
      <c r="F67" s="106"/>
    </row>
    <row r="68" spans="1:6">
      <c r="A68" s="109" t="s">
        <v>979</v>
      </c>
      <c r="B68" s="107" t="s">
        <v>1027</v>
      </c>
      <c r="C68" s="106">
        <v>26</v>
      </c>
      <c r="D68" s="108">
        <v>14.2</v>
      </c>
      <c r="E68" s="108">
        <f t="shared" si="1"/>
        <v>369.2</v>
      </c>
      <c r="F68" s="106"/>
    </row>
    <row r="69" spans="1:6">
      <c r="A69" s="109" t="s">
        <v>980</v>
      </c>
      <c r="B69" s="107" t="s">
        <v>1027</v>
      </c>
      <c r="C69" s="106">
        <v>5</v>
      </c>
      <c r="D69" s="108">
        <v>14.8</v>
      </c>
      <c r="E69" s="108">
        <f t="shared" si="1"/>
        <v>74</v>
      </c>
      <c r="F69" s="106"/>
    </row>
    <row r="70" spans="1:6">
      <c r="A70" s="109" t="s">
        <v>981</v>
      </c>
      <c r="B70" s="107" t="s">
        <v>1027</v>
      </c>
      <c r="C70" s="106">
        <v>69</v>
      </c>
      <c r="D70" s="108">
        <v>14.2</v>
      </c>
      <c r="E70" s="108">
        <f t="shared" si="1"/>
        <v>979.8</v>
      </c>
      <c r="F70" s="106"/>
    </row>
    <row r="71" spans="1:6">
      <c r="A71" s="109" t="s">
        <v>982</v>
      </c>
      <c r="B71" s="107" t="s">
        <v>1023</v>
      </c>
      <c r="C71" s="106">
        <v>11</v>
      </c>
      <c r="D71" s="108">
        <v>14.8</v>
      </c>
      <c r="E71" s="108">
        <f t="shared" si="1"/>
        <v>162.80000000000001</v>
      </c>
      <c r="F71" s="106"/>
    </row>
    <row r="72" spans="1:6">
      <c r="A72" s="109" t="s">
        <v>983</v>
      </c>
      <c r="B72" s="107" t="s">
        <v>1028</v>
      </c>
      <c r="C72" s="106">
        <v>107</v>
      </c>
      <c r="D72" s="108">
        <v>14.8</v>
      </c>
      <c r="E72" s="108">
        <f t="shared" si="1"/>
        <v>1583.6000000000001</v>
      </c>
      <c r="F72" s="106"/>
    </row>
    <row r="73" spans="1:6">
      <c r="A73" s="109" t="s">
        <v>984</v>
      </c>
      <c r="B73" s="107" t="s">
        <v>1024</v>
      </c>
      <c r="C73" s="106">
        <v>17</v>
      </c>
      <c r="D73" s="108">
        <v>15.4</v>
      </c>
      <c r="E73" s="108">
        <f t="shared" si="1"/>
        <v>261.8</v>
      </c>
      <c r="F73" s="106"/>
    </row>
    <row r="74" spans="1:6">
      <c r="A74" s="109" t="s">
        <v>985</v>
      </c>
      <c r="B74" s="107" t="s">
        <v>1024</v>
      </c>
      <c r="C74" s="106">
        <v>52</v>
      </c>
      <c r="D74" s="108">
        <v>14.8</v>
      </c>
      <c r="E74" s="108">
        <f t="shared" si="1"/>
        <v>769.6</v>
      </c>
      <c r="F74" s="106"/>
    </row>
    <row r="75" spans="1:6">
      <c r="A75" s="109" t="s">
        <v>986</v>
      </c>
      <c r="B75" s="107" t="s">
        <v>1024</v>
      </c>
      <c r="C75" s="106">
        <v>12</v>
      </c>
      <c r="D75" s="108">
        <v>15.4</v>
      </c>
      <c r="E75" s="108">
        <f t="shared" si="1"/>
        <v>184.8</v>
      </c>
      <c r="F75" s="106"/>
    </row>
    <row r="76" spans="1:6">
      <c r="A76" s="109" t="s">
        <v>987</v>
      </c>
      <c r="B76" s="107" t="s">
        <v>1024</v>
      </c>
      <c r="C76" s="106">
        <v>133</v>
      </c>
      <c r="D76" s="108">
        <v>14.8</v>
      </c>
      <c r="E76" s="108">
        <f t="shared" si="1"/>
        <v>1968.4</v>
      </c>
      <c r="F76" s="106"/>
    </row>
    <row r="77" spans="1:6">
      <c r="A77" s="109" t="s">
        <v>988</v>
      </c>
      <c r="B77" s="107" t="s">
        <v>1024</v>
      </c>
      <c r="C77" s="106">
        <v>23</v>
      </c>
      <c r="D77" s="108">
        <v>15.4</v>
      </c>
      <c r="E77" s="108">
        <f t="shared" si="1"/>
        <v>354.2</v>
      </c>
      <c r="F77" s="106"/>
    </row>
    <row r="78" spans="1:6">
      <c r="A78" s="109" t="s">
        <v>989</v>
      </c>
      <c r="B78" s="107" t="s">
        <v>1024</v>
      </c>
      <c r="C78" s="106">
        <v>99</v>
      </c>
      <c r="D78" s="108">
        <v>14.8</v>
      </c>
      <c r="E78" s="108">
        <f t="shared" si="1"/>
        <v>1465.2</v>
      </c>
      <c r="F78" s="106"/>
    </row>
    <row r="79" spans="1:6">
      <c r="A79" s="109" t="s">
        <v>990</v>
      </c>
      <c r="B79" s="107" t="s">
        <v>1024</v>
      </c>
      <c r="C79" s="106">
        <v>22</v>
      </c>
      <c r="D79" s="108">
        <v>15.4</v>
      </c>
      <c r="E79" s="108">
        <f t="shared" si="1"/>
        <v>338.8</v>
      </c>
      <c r="F79" s="106"/>
    </row>
    <row r="80" spans="1:6">
      <c r="A80" s="109" t="s">
        <v>991</v>
      </c>
      <c r="B80" s="107" t="s">
        <v>1026</v>
      </c>
      <c r="C80" s="106">
        <v>43</v>
      </c>
      <c r="D80" s="108">
        <v>14.8</v>
      </c>
      <c r="E80" s="108">
        <f t="shared" si="1"/>
        <v>636.4</v>
      </c>
      <c r="F80" s="106"/>
    </row>
    <row r="81" spans="1:6">
      <c r="A81" s="109" t="s">
        <v>992</v>
      </c>
      <c r="B81" s="107" t="s">
        <v>1026</v>
      </c>
      <c r="C81" s="106">
        <v>9</v>
      </c>
      <c r="D81" s="108">
        <v>15.4</v>
      </c>
      <c r="E81" s="108">
        <f t="shared" si="1"/>
        <v>138.6</v>
      </c>
      <c r="F81" s="106"/>
    </row>
    <row r="82" spans="1:6">
      <c r="A82" s="109" t="s">
        <v>993</v>
      </c>
      <c r="B82" s="107" t="s">
        <v>1025</v>
      </c>
      <c r="C82" s="106">
        <v>48</v>
      </c>
      <c r="D82" s="108">
        <v>14.2</v>
      </c>
      <c r="E82" s="108">
        <f t="shared" si="1"/>
        <v>681.59999999999991</v>
      </c>
      <c r="F82" s="106"/>
    </row>
    <row r="83" spans="1:6">
      <c r="A83" s="109" t="s">
        <v>994</v>
      </c>
      <c r="B83" s="107" t="s">
        <v>1025</v>
      </c>
      <c r="C83" s="106">
        <v>8</v>
      </c>
      <c r="D83" s="108">
        <v>14.8</v>
      </c>
      <c r="E83" s="108">
        <f t="shared" si="1"/>
        <v>118.4</v>
      </c>
      <c r="F83" s="106"/>
    </row>
    <row r="84" spans="1:6">
      <c r="A84" s="109" t="s">
        <v>995</v>
      </c>
      <c r="B84" s="107" t="s">
        <v>1024</v>
      </c>
      <c r="C84" s="106">
        <v>13</v>
      </c>
      <c r="D84" s="108">
        <v>14.8</v>
      </c>
      <c r="E84" s="108">
        <f t="shared" si="1"/>
        <v>192.4</v>
      </c>
      <c r="F84" s="106"/>
    </row>
    <row r="85" spans="1:6">
      <c r="A85" s="109" t="s">
        <v>996</v>
      </c>
      <c r="B85" s="107" t="s">
        <v>1026</v>
      </c>
      <c r="C85" s="106">
        <v>2</v>
      </c>
      <c r="D85" s="108">
        <v>15.4</v>
      </c>
      <c r="E85" s="108">
        <f t="shared" si="1"/>
        <v>30.8</v>
      </c>
      <c r="F85" s="106"/>
    </row>
    <row r="86" spans="1:6">
      <c r="A86" s="109" t="s">
        <v>997</v>
      </c>
      <c r="B86" s="107" t="s">
        <v>1026</v>
      </c>
      <c r="C86" s="106">
        <v>2</v>
      </c>
      <c r="D86" s="108">
        <v>15.4</v>
      </c>
      <c r="E86" s="108">
        <f t="shared" si="1"/>
        <v>30.8</v>
      </c>
      <c r="F86" s="106"/>
    </row>
    <row r="87" spans="1:6">
      <c r="A87" s="109" t="s">
        <v>998</v>
      </c>
      <c r="B87" s="107" t="s">
        <v>1026</v>
      </c>
      <c r="C87" s="106">
        <v>43</v>
      </c>
      <c r="D87" s="108">
        <v>14.8</v>
      </c>
      <c r="E87" s="108">
        <f t="shared" si="1"/>
        <v>636.4</v>
      </c>
      <c r="F87" s="106"/>
    </row>
    <row r="88" spans="1:6">
      <c r="A88" s="109" t="s">
        <v>999</v>
      </c>
      <c r="B88" s="107" t="s">
        <v>1026</v>
      </c>
      <c r="C88" s="106">
        <v>8</v>
      </c>
      <c r="D88" s="108">
        <v>15.4</v>
      </c>
      <c r="E88" s="108">
        <f t="shared" si="1"/>
        <v>123.2</v>
      </c>
      <c r="F88" s="106"/>
    </row>
    <row r="89" spans="1:6">
      <c r="A89" s="109" t="s">
        <v>1000</v>
      </c>
      <c r="B89" s="107" t="s">
        <v>1026</v>
      </c>
      <c r="C89" s="106">
        <v>47</v>
      </c>
      <c r="D89" s="108">
        <v>14.8</v>
      </c>
      <c r="E89" s="108">
        <f t="shared" si="1"/>
        <v>695.6</v>
      </c>
      <c r="F89" s="106"/>
    </row>
    <row r="90" spans="1:6">
      <c r="A90" s="109" t="s">
        <v>1001</v>
      </c>
      <c r="B90" s="107" t="s">
        <v>1026</v>
      </c>
      <c r="C90" s="106">
        <v>11</v>
      </c>
      <c r="D90" s="108">
        <v>15.4</v>
      </c>
      <c r="E90" s="108">
        <f t="shared" si="1"/>
        <v>169.4</v>
      </c>
      <c r="F90" s="106"/>
    </row>
    <row r="91" spans="1:6">
      <c r="A91" s="109" t="s">
        <v>1002</v>
      </c>
      <c r="B91" s="107" t="s">
        <v>1024</v>
      </c>
      <c r="C91" s="106">
        <v>6</v>
      </c>
      <c r="D91" s="108">
        <v>14.8</v>
      </c>
      <c r="E91" s="108">
        <f t="shared" si="1"/>
        <v>88.800000000000011</v>
      </c>
      <c r="F91" s="106"/>
    </row>
    <row r="92" spans="1:6">
      <c r="A92" s="109" t="s">
        <v>1003</v>
      </c>
      <c r="B92" s="107" t="s">
        <v>1026</v>
      </c>
      <c r="C92" s="106">
        <v>4</v>
      </c>
      <c r="D92" s="108">
        <v>15.4</v>
      </c>
      <c r="E92" s="108">
        <f t="shared" si="1"/>
        <v>61.6</v>
      </c>
      <c r="F92" s="106"/>
    </row>
    <row r="93" spans="1:6">
      <c r="A93" s="109" t="s">
        <v>1004</v>
      </c>
      <c r="B93" s="107" t="s">
        <v>1023</v>
      </c>
      <c r="C93" s="106">
        <v>70</v>
      </c>
      <c r="D93" s="108">
        <v>14.2</v>
      </c>
      <c r="E93" s="108">
        <f t="shared" si="1"/>
        <v>994</v>
      </c>
      <c r="F93" s="106"/>
    </row>
    <row r="94" spans="1:6">
      <c r="A94" s="109" t="s">
        <v>1005</v>
      </c>
      <c r="B94" s="107" t="s">
        <v>1023</v>
      </c>
      <c r="C94" s="106">
        <v>12</v>
      </c>
      <c r="D94" s="108">
        <v>14.8</v>
      </c>
      <c r="E94" s="108">
        <f t="shared" si="1"/>
        <v>177.60000000000002</v>
      </c>
      <c r="F94" s="106"/>
    </row>
    <row r="95" spans="1:6">
      <c r="A95" s="109" t="s">
        <v>1006</v>
      </c>
      <c r="B95" s="107" t="s">
        <v>1025</v>
      </c>
      <c r="C95" s="106">
        <v>59</v>
      </c>
      <c r="D95" s="108">
        <v>14.2</v>
      </c>
      <c r="E95" s="108">
        <f t="shared" si="1"/>
        <v>837.8</v>
      </c>
      <c r="F95" s="106"/>
    </row>
    <row r="96" spans="1:6">
      <c r="A96" s="109" t="s">
        <v>1007</v>
      </c>
      <c r="B96" s="107" t="s">
        <v>1023</v>
      </c>
      <c r="C96" s="106">
        <v>6</v>
      </c>
      <c r="D96" s="108">
        <v>14.8</v>
      </c>
      <c r="E96" s="108">
        <f t="shared" si="1"/>
        <v>88.800000000000011</v>
      </c>
      <c r="F96" s="106"/>
    </row>
    <row r="97" spans="1:6">
      <c r="A97" s="109" t="s">
        <v>1008</v>
      </c>
      <c r="B97" s="107" t="s">
        <v>1025</v>
      </c>
      <c r="C97" s="106">
        <v>18</v>
      </c>
      <c r="D97" s="108">
        <v>14.2</v>
      </c>
      <c r="E97" s="108">
        <f t="shared" si="1"/>
        <v>255.6</v>
      </c>
      <c r="F97" s="106"/>
    </row>
    <row r="98" spans="1:6">
      <c r="A98" s="109" t="s">
        <v>1009</v>
      </c>
      <c r="B98" s="107" t="s">
        <v>1024</v>
      </c>
      <c r="C98" s="106">
        <v>27</v>
      </c>
      <c r="D98" s="108">
        <v>14.992000000000001</v>
      </c>
      <c r="E98" s="108">
        <f t="shared" si="1"/>
        <v>404.78400000000005</v>
      </c>
      <c r="F98" s="106"/>
    </row>
    <row r="99" spans="1:6">
      <c r="A99" s="109" t="s">
        <v>1010</v>
      </c>
      <c r="B99" s="107" t="s">
        <v>1024</v>
      </c>
      <c r="C99" s="106">
        <v>147</v>
      </c>
      <c r="D99" s="108">
        <v>14.893333</v>
      </c>
      <c r="E99" s="108">
        <f t="shared" si="1"/>
        <v>2189.3199509999999</v>
      </c>
      <c r="F99" s="106"/>
    </row>
    <row r="100" spans="1:6">
      <c r="A100" s="109" t="s">
        <v>1011</v>
      </c>
      <c r="B100" s="107" t="s">
        <v>1023</v>
      </c>
      <c r="C100" s="106">
        <v>45</v>
      </c>
      <c r="D100" s="108">
        <v>14.297674000000001</v>
      </c>
      <c r="E100" s="108">
        <f t="shared" si="1"/>
        <v>643.39533000000006</v>
      </c>
      <c r="F100" s="106"/>
    </row>
    <row r="101" spans="1:6">
      <c r="A101" s="109" t="s">
        <v>1012</v>
      </c>
      <c r="B101" s="107" t="s">
        <v>1024</v>
      </c>
      <c r="C101" s="106">
        <v>74</v>
      </c>
      <c r="D101" s="108">
        <v>14.906451000000001</v>
      </c>
      <c r="E101" s="108">
        <f t="shared" si="1"/>
        <v>1103.077374</v>
      </c>
      <c r="F101" s="106"/>
    </row>
    <row r="102" spans="1:6">
      <c r="A102" s="109" t="s">
        <v>1013</v>
      </c>
      <c r="B102" s="107" t="s">
        <v>1024</v>
      </c>
      <c r="C102" s="106">
        <v>181</v>
      </c>
      <c r="D102" s="108">
        <v>14.906976</v>
      </c>
      <c r="E102" s="108">
        <f t="shared" si="1"/>
        <v>2698.162656</v>
      </c>
      <c r="F102" s="106"/>
    </row>
    <row r="103" spans="1:6">
      <c r="A103" s="109" t="s">
        <v>1014</v>
      </c>
      <c r="B103" s="107" t="s">
        <v>1024</v>
      </c>
      <c r="C103" s="106">
        <v>35</v>
      </c>
      <c r="D103" s="108">
        <v>14.8</v>
      </c>
      <c r="E103" s="108">
        <f t="shared" si="1"/>
        <v>518</v>
      </c>
      <c r="F103" s="106"/>
    </row>
    <row r="104" spans="1:6">
      <c r="A104" s="109" t="s">
        <v>1015</v>
      </c>
      <c r="B104" s="107" t="s">
        <v>1024</v>
      </c>
      <c r="C104" s="106">
        <v>8</v>
      </c>
      <c r="D104" s="108">
        <v>15.4</v>
      </c>
      <c r="E104" s="108">
        <f t="shared" si="1"/>
        <v>123.2</v>
      </c>
      <c r="F104" s="106"/>
    </row>
    <row r="105" spans="1:6">
      <c r="A105" s="109" t="s">
        <v>1016</v>
      </c>
      <c r="B105" s="107" t="s">
        <v>1024</v>
      </c>
      <c r="C105" s="106">
        <v>80</v>
      </c>
      <c r="D105" s="108">
        <v>15.8</v>
      </c>
      <c r="E105" s="108">
        <f t="shared" si="1"/>
        <v>1264</v>
      </c>
      <c r="F105" s="106"/>
    </row>
    <row r="106" spans="1:6">
      <c r="A106" s="109" t="s">
        <v>1017</v>
      </c>
      <c r="B106" s="107" t="s">
        <v>1024</v>
      </c>
      <c r="C106" s="106">
        <v>18</v>
      </c>
      <c r="D106" s="108">
        <v>16.399999999999999</v>
      </c>
      <c r="E106" s="108">
        <f t="shared" si="1"/>
        <v>295.2</v>
      </c>
      <c r="F106" s="106"/>
    </row>
    <row r="107" spans="1:6">
      <c r="A107" s="109" t="s">
        <v>1018</v>
      </c>
      <c r="B107" s="107" t="s">
        <v>1024</v>
      </c>
      <c r="C107" s="106">
        <v>122</v>
      </c>
      <c r="D107" s="108">
        <v>15.8</v>
      </c>
      <c r="E107" s="108">
        <f t="shared" si="1"/>
        <v>1927.6000000000001</v>
      </c>
      <c r="F107" s="106"/>
    </row>
    <row r="108" spans="1:6">
      <c r="A108" s="109" t="s">
        <v>1019</v>
      </c>
      <c r="B108" s="107" t="s">
        <v>1024</v>
      </c>
      <c r="C108" s="106">
        <v>22</v>
      </c>
      <c r="D108" s="108">
        <v>16.399999999999999</v>
      </c>
      <c r="E108" s="108">
        <f t="shared" si="1"/>
        <v>360.79999999999995</v>
      </c>
      <c r="F108" s="106"/>
    </row>
    <row r="109" spans="1:6">
      <c r="A109" s="109" t="s">
        <v>1020</v>
      </c>
      <c r="B109" s="107" t="s">
        <v>1024</v>
      </c>
      <c r="C109" s="106">
        <v>22</v>
      </c>
      <c r="D109" s="108">
        <v>14.8</v>
      </c>
      <c r="E109" s="108">
        <f t="shared" si="1"/>
        <v>325.60000000000002</v>
      </c>
      <c r="F109" s="106"/>
    </row>
    <row r="111" spans="1:6" ht="15.65">
      <c r="C111" s="105">
        <f>SUM(C2:C110)</f>
        <v>3576</v>
      </c>
      <c r="D111" s="105"/>
      <c r="E111" s="105">
        <f>SUM(E2:E110)</f>
        <v>52071.399311000008</v>
      </c>
      <c r="F111" s="105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13</vt:i4>
      </vt:variant>
    </vt:vector>
  </HeadingPairs>
  <TitlesOfParts>
    <vt:vector size="21" baseType="lpstr">
      <vt:lpstr>POLITICAS DE CODIFICACION</vt:lpstr>
      <vt:lpstr>Hoja1</vt:lpstr>
      <vt:lpstr>Hoja3</vt:lpstr>
      <vt:lpstr>Formulario</vt:lpstr>
      <vt:lpstr>INSUMOS 31-12-2018</vt:lpstr>
      <vt:lpstr>TEJIDOS</vt:lpstr>
      <vt:lpstr>CAMISAS 31-12-2018(INDUT)</vt:lpstr>
      <vt:lpstr>CAMISAS 31-12-2018(S.Exito)</vt:lpstr>
      <vt:lpstr>AÑO</vt:lpstr>
      <vt:lpstr>'POLITICAS DE CODIFICACION'!Área_de_impresión</vt:lpstr>
      <vt:lpstr>CALIDAD</vt:lpstr>
      <vt:lpstr>CLIENTE</vt:lpstr>
      <vt:lpstr>CODIGOG</vt:lpstr>
      <vt:lpstr>CODIGOP</vt:lpstr>
      <vt:lpstr>CODIGOS</vt:lpstr>
      <vt:lpstr>FIGURA</vt:lpstr>
      <vt:lpstr>GENERO</vt:lpstr>
      <vt:lpstr>Guardar</vt:lpstr>
      <vt:lpstr>PRENDA</vt:lpstr>
      <vt:lpstr>SEGMENTO</vt:lpstr>
      <vt:lpstr>TALLA</vt:lpstr>
    </vt:vector>
  </TitlesOfParts>
  <Company>RITCHI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departamento de calidad</dc:creator>
  <cp:lastModifiedBy>William Cardona C.</cp:lastModifiedBy>
  <cp:lastPrinted>2019-05-09T20:15:31Z</cp:lastPrinted>
  <dcterms:created xsi:type="dcterms:W3CDTF">1999-04-13T17:45:44Z</dcterms:created>
  <dcterms:modified xsi:type="dcterms:W3CDTF">2019-06-14T23:08:46Z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115 115 1920 1080</vt:lpwstr>
  </property>
</Properties>
</file>